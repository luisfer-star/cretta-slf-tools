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shboard" sheetId="2" state="visible" r:id="rId4"/>
    <sheet name="Iniciativas" sheetId="3" state="visible" r:id="rId5"/>
    <sheet name="Historial" sheetId="4" state="visible" r:id="rId6"/>
    <sheet name="Reporte Ejecutivo" sheetId="5" state="visible" r:id="rId7"/>
  </sheets>
  <definedNames>
    <definedName function="false" hidden="true" localSheetId="3" name="_xlnm._FilterDatabase" vbProcedure="false">Historial!$B$4:$I$4</definedName>
    <definedName function="false" hidden="true" localSheetId="2" name="_xlnm._FilterDatabase" vbProcedure="false">Iniciativas!$B$4:$L$4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<sst xmlns="http://schemas.openxmlformats.org/spreadsheetml/2006/main" count="177" uniqueCount="141">
  <si>
    <t xml:space="preserve">Initiative Accountability Tracker™ — Instrucciones de uso</t>
  </si>
  <si>
    <t xml:space="preserve">ESTRUCTURA DEL TRACKER</t>
  </si>
  <si>
    <t xml:space="preserve">Este workbook tiene 4 hojas operativas. Cada una cumple un rol específico en el sistema de accountability:</t>
  </si>
  <si>
    <t xml:space="preserve">Hoja 1 · Dashboard</t>
  </si>
  <si>
    <t xml:space="preserve">Vista consolidada del portfolio. Se actualiza automáticamente cuando se ingresan o modifican datos en la hoja Iniciativas. Incluye conteos por estado, índice de salud del portfolio, y vista de iniciativas en riesgo o retrasadas.</t>
  </si>
  <si>
    <t xml:space="preserve">Hoja 2 · Iniciativas</t>
  </si>
  <si>
    <t xml:space="preserve">El registro central. Cada fila es una iniciativa estratégica activa. Completar todos los campos: nombre, responsable (una sola persona — no un equipo), categoría, estado, progreso en %, fecha límite, métrica objetivo y última nota de actualización.</t>
  </si>
  <si>
    <t xml:space="preserve">Usar el desplegable en la columna Estado para seleccionar: En marcha / En riesgo / Retrasada / Completada / En pausa. No escribir a mano — el Dashboard depende de estos valores exactos.</t>
  </si>
  <si>
    <t xml:space="preserve">Hoja 3 · Historial</t>
  </si>
  <si>
    <t xml:space="preserve">Registro cronológico de cada actualización. Cada vez que cambia el estado o el progreso de una iniciativa, agregar una fila aquí con: fecha, nombre de la iniciativa, estado anterior, nuevo estado, nota de actualización y próximo paso.</t>
  </si>
  <si>
    <t xml:space="preserve">Este historial es la evidencia del accountability. Sin él, el tracker es solo un snapshot. Con él, es un registro de la evolución de cada decisión estratégica.</t>
  </si>
  <si>
    <t xml:space="preserve">Hoja 4 · Reporte Ejecutivo</t>
  </si>
  <si>
    <t xml:space="preserve">Vista lista para impresión o presentación al Consejo. Se actualiza automáticamente desde la hoja Iniciativas. Imprimir o guardar como PDF antes de cada sesión de revisión estratégica.</t>
  </si>
  <si>
    <t xml:space="preserve">PROTOCOLO DE USO RECOMENDADO</t>
  </si>
  <si>
    <t xml:space="preserve">Frecuencia de actualización</t>
  </si>
  <si>
    <t xml:space="preserve">Semanal para el equipo directivo: actualizar estado, progreso y nota en la hoja Iniciativas. Registrar el cambio en Historial. Mensual para el CEO: revisar el Dashboard completo y el Reporte Ejecutivo. Trimestral para el Consejo: presentar el Reporte Ejecutivo impreso.</t>
  </si>
  <si>
    <t xml:space="preserve">Reglas de uso</t>
  </si>
  <si>
    <t xml:space="preserve">1. Cada iniciativa tiene UN responsable. No 'el equipo', no 'la dirección' — un nombre y apellido.</t>
  </si>
  <si>
    <t xml:space="preserve">2. El progreso es un número honesto, no un número cómodo. 35% significa que el 35% del trabajo está hecho, no que estamos optimistas.</t>
  </si>
  <si>
    <t xml:space="preserve">3. Cambiar el estado a 'En riesgo' o 'Retrasada' no es un fracaso — es accountability. Ocultar el riesgo hasta que sea una crisis sí es un problema.</t>
  </si>
  <si>
    <t xml:space="preserve">4. La nota de actualización debe responder: ¿qué cambió, qué bloquea, qué viene a continuación?</t>
  </si>
  <si>
    <t xml:space="preserve">5. No eliminar iniciativas completadas — solo cambiar su estado a 'Completada'. El historial de logros importa.</t>
  </si>
  <si>
    <t xml:space="preserve">SOBRE EL ACCOUNTABILITY</t>
  </si>
  <si>
    <t xml:space="preserve">"El accountability no es un proceso. Es una decisión de diseño: quién responde por qué resultado, ante quién, con qué evidencia y en qué plazo. Sin esa precisión, el seguimiento es decorativo." — CRETTA Strategic Leadership Firm</t>
  </si>
  <si>
    <t xml:space="preserve">CRETTA Strategic Leadership Firm · cretta-slf.com</t>
  </si>
  <si>
    <t xml:space="preserve">CRETTA · Initiative Accountability Tracker™</t>
  </si>
  <si>
    <t xml:space="preserve">Dashboard Ejecutivo</t>
  </si>
  <si>
    <t xml:space="preserve">TOTAL INICIATIVAS</t>
  </si>
  <si>
    <t xml:space="preserve">EN MARCHA</t>
  </si>
  <si>
    <t xml:space="preserve">EN RIESGO</t>
  </si>
  <si>
    <t xml:space="preserve">RETRASADAS</t>
  </si>
  <si>
    <t xml:space="preserve">COMPLETADAS</t>
  </si>
  <si>
    <t xml:space="preserve">EN PAUSA</t>
  </si>
  <si>
    <t xml:space="preserve">ÍNDICE DE SALUD DEL PORTFOLIO</t>
  </si>
  <si>
    <t xml:space="preserve">Iniciativas en marcha / Iniciativas activas</t>
  </si>
  <si>
    <t xml:space="preserve">ATENCIÓN REQUERIDA — INICIATIVAS EN RIESGO O RETRASADAS</t>
  </si>
  <si>
    <t xml:space="preserve">Iniciativa</t>
  </si>
  <si>
    <t xml:space="preserve">Responsable</t>
  </si>
  <si>
    <t xml:space="preserve">Estado</t>
  </si>
  <si>
    <t xml:space="preserve">Progreso</t>
  </si>
  <si>
    <t xml:space="preserve">Fecha Límite</t>
  </si>
  <si>
    <t xml:space="preserve">Última nota</t>
  </si>
  <si>
    <t xml:space="preserve">DISTRIBUCIÓN POR CATEGORÍA</t>
  </si>
  <si>
    <t xml:space="preserve">PROGRESO PROMEDIO POR ESTADO</t>
  </si>
  <si>
    <t xml:space="preserve">Estrategia</t>
  </si>
  <si>
    <t xml:space="preserve">En marcha</t>
  </si>
  <si>
    <t xml:space="preserve">Crecimiento</t>
  </si>
  <si>
    <t xml:space="preserve">En riesgo</t>
  </si>
  <si>
    <t xml:space="preserve">Operaciones</t>
  </si>
  <si>
    <t xml:space="preserve">Retrasada</t>
  </si>
  <si>
    <t xml:space="preserve">Talento</t>
  </si>
  <si>
    <t xml:space="preserve">Completada</t>
  </si>
  <si>
    <t xml:space="preserve">Gobierno</t>
  </si>
  <si>
    <t xml:space="preserve">En pausa</t>
  </si>
  <si>
    <t xml:space="preserve">Capital</t>
  </si>
  <si>
    <t xml:space="preserve">Transformación</t>
  </si>
  <si>
    <t xml:space="preserve">Mercado</t>
  </si>
  <si>
    <t xml:space="preserve">CRETTA Strategic Leadership Firm · Initiative Accountability Tracker™ · Uso exclusivo del equipo directivo</t>
  </si>
  <si>
    <t xml:space="preserve">Registro de Iniciativas Estratégicas</t>
  </si>
  <si>
    <t xml:space="preserve">INICIATIVA ESTRATÉGICA</t>
  </si>
  <si>
    <t xml:space="preserve">RESPONSABLE (OWNER)</t>
  </si>
  <si>
    <t xml:space="preserve">CATEGORÍA</t>
  </si>
  <si>
    <t xml:space="preserve">ESTADO</t>
  </si>
  <si>
    <t xml:space="preserve">PROGRESO
(%)</t>
  </si>
  <si>
    <t xml:space="preserve">FECHA LÍMITE</t>
  </si>
  <si>
    <t xml:space="preserve">FECHA INICIO</t>
  </si>
  <si>
    <t xml:space="preserve">MÉTRICA OBJETIVO</t>
  </si>
  <si>
    <t xml:space="preserve">ÚLTIMA ACTUALIZACIÓN / NOTA</t>
  </si>
  <si>
    <t xml:space="preserve">PRÓXIMO PASO</t>
  </si>
  <si>
    <t xml:space="preserve">DÍAS
RESTANTES</t>
  </si>
  <si>
    <t xml:space="preserve">Expansión a Monterrey — apertura de operaciones EPC</t>
  </si>
  <si>
    <t xml:space="preserve">Luis Fernández</t>
  </si>
  <si>
    <t xml:space="preserve">2026-09-30</t>
  </si>
  <si>
    <t xml:space="preserve">2026-01-15</t>
  </si>
  <si>
    <t xml:space="preserve">Primer contrato firmado en Q3 2026</t>
  </si>
  <si>
    <t xml:space="preserve">Reunión con cliente ancla el 12 de mayo. Proceso de licitación en curso.</t>
  </si>
  <si>
    <t xml:space="preserve">Confirmar equipo de obra local antes del 15 de mayo</t>
  </si>
  <si>
    <t xml:space="preserve">Estructuración del Consejo de Administración</t>
  </si>
  <si>
    <t xml:space="preserve">CEO</t>
  </si>
  <si>
    <t xml:space="preserve">2026-06-30</t>
  </si>
  <si>
    <t xml:space="preserve">2026-02-01</t>
  </si>
  <si>
    <t xml:space="preserve">Consejo operativo con 1 consejero independiente</t>
  </si>
  <si>
    <t xml:space="preserve">El proceso de selección del consejero independiente está retrasado 3 semanas.</t>
  </si>
  <si>
    <t xml:space="preserve">Reactivar búsqueda — contactar a 3 candidatos esta semana</t>
  </si>
  <si>
    <t xml:space="preserve">Implementación del sistema ERP</t>
  </si>
  <si>
    <t xml:space="preserve">Claudia Ramírez</t>
  </si>
  <si>
    <t xml:space="preserve">2026-07-31</t>
  </si>
  <si>
    <t xml:space="preserve">2025-11-01</t>
  </si>
  <si>
    <t xml:space="preserve">Go-live del módulo financiero</t>
  </si>
  <si>
    <t xml:space="preserve">Módulo de compras completado. Módulo financiero en fase de pruebas.</t>
  </si>
  <si>
    <t xml:space="preserve">Cierre de UAT fase 2 el 28 de mayo</t>
  </si>
  <si>
    <t xml:space="preserve">Plan de sucesión del CEO</t>
  </si>
  <si>
    <t xml:space="preserve">Consejo</t>
  </si>
  <si>
    <t xml:space="preserve">2026-12-31</t>
  </si>
  <si>
    <t xml:space="preserve">2026-03-01</t>
  </si>
  <si>
    <t xml:space="preserve">Sucesor identificado y plan documentado</t>
  </si>
  <si>
    <t xml:space="preserve">En espera de definición del horizonte de transición por parte de los socios.</t>
  </si>
  <si>
    <t xml:space="preserve">Sesión de alineación de socios en junio</t>
  </si>
  <si>
    <t xml:space="preserve">Protocolo familiar — primera versión</t>
  </si>
  <si>
    <t xml:space="preserve">Asesor Legal</t>
  </si>
  <si>
    <t xml:space="preserve">2026-05-31</t>
  </si>
  <si>
    <t xml:space="preserve">2026-01-10</t>
  </si>
  <si>
    <t xml:space="preserve">Documento aprobado por todos los socios</t>
  </si>
  <si>
    <t xml:space="preserve">Conflicto entre socios sobre cláusula de liquidez bloqueó el proceso.</t>
  </si>
  <si>
    <t xml:space="preserve">Mediación con facilitador externo — fecha por confirmar</t>
  </si>
  <si>
    <t xml:space="preserve">Historial de Actualizaciones</t>
  </si>
  <si>
    <t xml:space="preserve">FECHA</t>
  </si>
  <si>
    <t xml:space="preserve">RESPONSABLE</t>
  </si>
  <si>
    <t xml:space="preserve">ESTADO ANTERIOR</t>
  </si>
  <si>
    <t xml:space="preserve">NUEVO ESTADO</t>
  </si>
  <si>
    <t xml:space="preserve">NOTA DE ACTUALIZACIÓN</t>
  </si>
  <si>
    <t xml:space="preserve">PRÓXIMO PASO / COMPROMISO</t>
  </si>
  <si>
    <t xml:space="preserve">REGISTRADO POR</t>
  </si>
  <si>
    <t xml:space="preserve">2026-04-28</t>
  </si>
  <si>
    <t xml:space="preserve">Se firmó carta de intención con cliente ancla. Riesgo de financiamiento resuelto.</t>
  </si>
  <si>
    <t xml:space="preserve">Presentar propuesta técnica definitiva el 15 de mayo</t>
  </si>
  <si>
    <t xml:space="preserve">2026-04-21</t>
  </si>
  <si>
    <t xml:space="preserve">El candidato principal declinó. Proceso de búsqueda debe reiniciarse.</t>
  </si>
  <si>
    <t xml:space="preserve">Contactar a 3 candidatos alternativos esta semana</t>
  </si>
  <si>
    <t xml:space="preserve">2026-04-14</t>
  </si>
  <si>
    <t xml:space="preserve">Módulo de compras completado al 100%. Módulo financiero inicia pruebas.</t>
  </si>
  <si>
    <t xml:space="preserve">Cerrar UAT fase 2 el 28 de mayo con equipo de finanzas</t>
  </si>
  <si>
    <t xml:space="preserve">2026-03-31</t>
  </si>
  <si>
    <t xml:space="preserve">Desacuerdo entre socios sobre la cláusula de liquidez. Proceso detenido.</t>
  </si>
  <si>
    <t xml:space="preserve">Convocar sesión de mediación con facilitador externo</t>
  </si>
  <si>
    <t xml:space="preserve">Registrar cada actualización en este historial — la cadencia de registro es la evidencia del accountability</t>
  </si>
  <si>
    <t xml:space="preserve">REPORTE EJECUTIVO DE INICIATIVAS</t>
  </si>
  <si>
    <t xml:space="preserve">RESUMEN DEL PERÍODO</t>
  </si>
  <si>
    <t xml:space="preserve">Total iniciativas en seguimiento</t>
  </si>
  <si>
    <t xml:space="preserve">Iniciativas en marcha</t>
  </si>
  <si>
    <t xml:space="preserve">Iniciativas en riesgo</t>
  </si>
  <si>
    <t xml:space="preserve">Iniciativas retrasadas</t>
  </si>
  <si>
    <t xml:space="preserve">Iniciativas completadas</t>
  </si>
  <si>
    <t xml:space="preserve">Progreso promedio del portfolio</t>
  </si>
  <si>
    <t xml:space="preserve">Índice de salud del portfolio</t>
  </si>
  <si>
    <t xml:space="preserve">ESTADO DETALLADO DE INICIATIVAS ACTIVAS</t>
  </si>
  <si>
    <t xml:space="preserve">INICIATIVA</t>
  </si>
  <si>
    <t xml:space="preserve">PROGRESO</t>
  </si>
  <si>
    <t xml:space="preserve">ÚLTIMA ACTUALIZACIÓN</t>
  </si>
  <si>
    <t xml:space="preserve">"El accountability no es el reporte. Es la conversación que produce el reporte — donde alguien responde con su nombre por un resultado, en una fecha. Sin esa precisión, el seguimiento es teatro." — CRETTA SLF</t>
  </si>
  <si>
    <t xml:space="preserve">CRETTA Strategic Leadership Firm · Reporte de uso exclusivo de la Dirección General y el Consejo de Administración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</si>
</sst>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dd/mm/yyyy"/>
    <numFmt numFmtId="168" formatCode="dd\ mmmm\ yyyy"/>
    <numFmt numFmtId="169" formatCode="0"/>
  </numFmts>
  <fonts count="5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49A3C"/>
      <name val="Arial"/>
      <family val="0"/>
      <charset val="1"/>
    </font>
    <font>
      <b val="true"/>
      <sz val="11"/>
      <color rgb="FF0D1B3E"/>
      <name val="Arial"/>
      <family val="0"/>
      <charset val="1"/>
    </font>
    <font>
      <sz val="9"/>
      <color rgb="FF3A3A3A"/>
      <name val="Arial"/>
      <family val="0"/>
      <charset val="1"/>
    </font>
    <font>
      <b val="true"/>
      <sz val="10"/>
      <color rgb="FF0D1B3E"/>
      <name val="Arial"/>
      <family val="0"/>
      <charset val="1"/>
    </font>
    <font>
      <b val="true"/>
      <sz val="9"/>
      <color rgb="FF0D1B3E"/>
      <name val="Arial"/>
      <family val="0"/>
      <charset val="1"/>
    </font>
    <font>
      <sz val="9"/>
      <color rgb="FF6A6A6A"/>
      <name val="Arial"/>
      <family val="0"/>
      <charset val="1"/>
    </font>
    <font>
      <b val="true"/>
      <sz val="8"/>
      <color rgb="FFC49A3C"/>
      <name val="Arial"/>
      <family val="0"/>
      <charset val="1"/>
    </font>
    <font>
      <b val="true"/>
      <sz val="13"/>
      <color rgb="FFC49A3C"/>
      <name val="Arial"/>
      <family val="0"/>
      <charset val="1"/>
    </font>
    <font>
      <i val="true"/>
      <sz val="11"/>
      <color rgb="FFF4F1EC"/>
      <name val="Arial"/>
      <family val="0"/>
      <charset val="1"/>
    </font>
    <font>
      <b val="true"/>
      <sz val="7"/>
      <color rgb="FF6A6A6A"/>
      <name val="Arial"/>
      <family val="0"/>
      <charset val="1"/>
    </font>
    <font>
      <b val="true"/>
      <sz val="26"/>
      <color rgb="FF0D1B3E"/>
      <name val="Arial"/>
      <family val="0"/>
      <charset val="1"/>
    </font>
    <font>
      <b val="true"/>
      <sz val="26"/>
      <color rgb="FF1A6B3C"/>
      <name val="Arial"/>
      <family val="0"/>
      <charset val="1"/>
    </font>
    <font>
      <b val="true"/>
      <sz val="26"/>
      <color rgb="FFB56A00"/>
      <name val="Arial"/>
      <family val="0"/>
      <charset val="1"/>
    </font>
    <font>
      <b val="true"/>
      <sz val="26"/>
      <color rgb="FF9A1F1F"/>
      <name val="Arial"/>
      <family val="0"/>
      <charset val="1"/>
    </font>
    <font>
      <b val="true"/>
      <sz val="26"/>
      <color rgb="FF2D5A8E"/>
      <name val="Arial"/>
      <family val="0"/>
      <charset val="1"/>
    </font>
    <font>
      <b val="true"/>
      <sz val="26"/>
      <color rgb="FF5A5A6E"/>
      <name val="Arial"/>
      <family val="0"/>
      <charset val="1"/>
    </font>
    <font>
      <b val="true"/>
      <sz val="8"/>
      <color rgb="FF6A6A6A"/>
      <name val="Arial"/>
      <family val="0"/>
      <charset val="1"/>
    </font>
    <font>
      <b val="true"/>
      <sz val="14"/>
      <color rgb="FF0D1B3E"/>
      <name val="Arial"/>
      <family val="0"/>
      <charset val="1"/>
    </font>
    <font>
      <i val="true"/>
      <sz val="9"/>
      <color rgb="FF6A6A6A"/>
      <name val="Arial"/>
      <family val="0"/>
      <charset val="1"/>
    </font>
    <font>
      <sz val="10"/>
      <color rgb="FF3A3A3A"/>
      <name val="Arial"/>
      <family val="0"/>
      <charset val="1"/>
    </font>
    <font>
      <b val="true"/>
      <sz val="8"/>
      <color rgb="FF9A1F1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B56A00"/>
      <name val="Arial"/>
      <family val="0"/>
      <charset val="1"/>
    </font>
    <font>
      <i val="true"/>
      <sz val="8"/>
      <color rgb="FF6A6A6A"/>
      <name val="Arial"/>
      <family val="0"/>
      <charset val="1"/>
    </font>
    <font>
      <b val="true"/>
      <sz val="9"/>
      <color rgb="FF1A6B3C"/>
      <name val="Arial"/>
      <family val="0"/>
      <charset val="1"/>
    </font>
    <font>
      <sz val="12"/>
      <color rgb="FF1A6B3C"/>
      <name val="Arial"/>
      <family val="0"/>
      <charset val="1"/>
    </font>
    <font>
      <sz val="12"/>
      <color rgb="FFB56A00"/>
      <name val="Arial"/>
      <family val="0"/>
      <charset val="1"/>
    </font>
    <font>
      <b val="true"/>
      <sz val="9"/>
      <color rgb="FF9A1F1F"/>
      <name val="Arial"/>
      <family val="0"/>
      <charset val="1"/>
    </font>
    <font>
      <sz val="12"/>
      <color rgb="FF9A1F1F"/>
      <name val="Arial"/>
      <family val="0"/>
      <charset val="1"/>
    </font>
    <font>
      <b val="true"/>
      <sz val="9"/>
      <color rgb="FF2D5A8E"/>
      <name val="Arial"/>
      <family val="0"/>
      <charset val="1"/>
    </font>
    <font>
      <sz val="12"/>
      <color rgb="FF2D5A8E"/>
      <name val="Arial"/>
      <family val="0"/>
      <charset val="1"/>
    </font>
    <font>
      <b val="true"/>
      <sz val="9"/>
      <color rgb="FF5A5A6E"/>
      <name val="Arial"/>
      <family val="0"/>
      <charset val="1"/>
    </font>
    <font>
      <sz val="12"/>
      <color rgb="FF5A5A6E"/>
      <name val="Arial"/>
      <family val="0"/>
      <charset val="1"/>
    </font>
    <font>
      <sz val="7"/>
      <color rgb="FFC49A3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6A6A6A"/>
      <name val="Arial"/>
      <family val="0"/>
      <charset val="1"/>
    </font>
    <font>
      <b val="true"/>
      <sz val="10"/>
      <color rgb="FF1A6B3C"/>
      <name val="Arial"/>
      <family val="0"/>
      <charset val="1"/>
    </font>
    <font>
      <sz val="8"/>
      <color rgb="FF0D1B3E"/>
      <name val="Arial"/>
      <family val="0"/>
      <charset val="1"/>
    </font>
    <font>
      <b val="true"/>
      <sz val="10"/>
      <color rgb="FFB56A00"/>
      <name val="Arial"/>
      <family val="0"/>
      <charset val="1"/>
    </font>
    <font>
      <b val="true"/>
      <sz val="10"/>
      <color rgb="FF5A5A6E"/>
      <name val="Arial"/>
      <family val="0"/>
      <charset val="1"/>
    </font>
    <font>
      <b val="true"/>
      <sz val="10"/>
      <color rgb="FF9A1F1F"/>
      <name val="Arial"/>
      <family val="0"/>
      <charset val="1"/>
    </font>
    <font>
      <i val="true"/>
      <sz val="8"/>
      <color rgb="FF3A3A3A"/>
      <name val="Arial"/>
      <family val="0"/>
      <charset val="1"/>
    </font>
    <font>
      <i val="true"/>
      <sz val="7"/>
      <color rgb="FFC49A3C"/>
      <name val="Arial"/>
      <family val="0"/>
      <charset val="1"/>
    </font>
    <font>
      <sz val="10"/>
      <color rgb="FFECE8E0"/>
      <name val="Arial"/>
      <family val="0"/>
      <charset val="1"/>
    </font>
    <font>
      <b val="true"/>
      <sz val="9"/>
      <color rgb="FF6A6A6A"/>
      <name val="Arial"/>
      <family val="0"/>
      <charset val="1"/>
    </font>
    <font>
      <b val="true"/>
      <sz val="12"/>
      <color rgb="FF0D1B3E"/>
      <name val="Arial"/>
      <family val="0"/>
      <charset val="1"/>
    </font>
    <font>
      <b val="true"/>
      <sz val="12"/>
      <color rgb="FF1A6B3C"/>
      <name val="Arial"/>
      <family val="0"/>
      <charset val="1"/>
    </font>
    <font>
      <sz val="9"/>
      <color rgb="FF0D1B3E"/>
      <name val="Arial"/>
      <family val="0"/>
      <charset val="1"/>
    </font>
    <font>
      <b val="true"/>
      <sz val="9"/>
      <color rgb="FF3A3A3A"/>
      <name val="Arial"/>
      <family val="0"/>
      <charset val="1"/>
    </font>
    <font>
      <i val="true"/>
      <sz val="8"/>
      <color rgb="FFC49A3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3E"/>
        <bgColor rgb="FF142248"/>
      </patternFill>
    </fill>
    <fill>
      <patternFill patternType="solid">
        <fgColor rgb="FFECE8E0"/>
        <bgColor rgb="FFE8E0D0"/>
      </patternFill>
    </fill>
    <fill>
      <patternFill patternType="solid">
        <fgColor rgb="FFF8F6F1"/>
        <bgColor rgb="FFF4F4F6"/>
      </patternFill>
    </fill>
    <fill>
      <patternFill patternType="solid">
        <fgColor rgb="FFF0F9F3"/>
        <bgColor rgb="FFF0F4FA"/>
      </patternFill>
    </fill>
    <fill>
      <patternFill patternType="solid">
        <fgColor rgb="FFFDF6EC"/>
        <bgColor rgb="FFF8F6F1"/>
      </patternFill>
    </fill>
    <fill>
      <patternFill patternType="solid">
        <fgColor rgb="FFFDF2F2"/>
        <bgColor rgb="FFFDF6EC"/>
      </patternFill>
    </fill>
    <fill>
      <patternFill patternType="solid">
        <fgColor rgb="FFF0F4FA"/>
        <bgColor rgb="FFF4F4F6"/>
      </patternFill>
    </fill>
    <fill>
      <patternFill patternType="solid">
        <fgColor rgb="FFF4F4F6"/>
        <bgColor rgb="FFF0F4FA"/>
      </patternFill>
    </fill>
    <fill>
      <patternFill patternType="solid">
        <fgColor rgb="FF142248"/>
        <bgColor rgb="FF0D1B3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C8B8"/>
      </bottom>
      <diagonal/>
    </border>
    <border diagonalUp="false" diagonalDown="false">
      <left/>
      <right/>
      <top/>
      <bottom style="thin">
        <color rgb="FFE8E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4224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1A6B3C"/>
        <sz val="9"/>
      </font>
      <fill>
        <patternFill>
          <bgColor rgb="FFF0F9F3"/>
        </patternFill>
      </fill>
    </dxf>
    <dxf>
      <font>
        <name val="Arial"/>
        <charset val="1"/>
        <family val="0"/>
        <b val="1"/>
        <color rgb="FFB56A00"/>
        <sz val="9"/>
      </font>
      <fill>
        <patternFill>
          <bgColor rgb="FFFDF6EC"/>
        </patternFill>
      </fill>
    </dxf>
    <dxf>
      <font>
        <name val="Arial"/>
        <charset val="1"/>
        <family val="0"/>
        <b val="1"/>
        <color rgb="FF9A1F1F"/>
        <sz val="9"/>
      </font>
      <fill>
        <patternFill>
          <bgColor rgb="FFFDF2F2"/>
        </patternFill>
      </fill>
    </dxf>
    <dxf>
      <font>
        <name val="Arial"/>
        <charset val="1"/>
        <family val="0"/>
        <b val="1"/>
        <color rgb="FF2D5A8E"/>
        <sz val="9"/>
      </font>
      <fill>
        <patternFill>
          <bgColor rgb="FFF0F4FA"/>
        </patternFill>
      </fill>
    </dxf>
    <dxf>
      <font>
        <name val="Arial"/>
        <charset val="1"/>
        <family val="0"/>
        <b val="1"/>
        <color rgb="FF5A5A6E"/>
        <sz val="9"/>
      </font>
      <fill>
        <patternFill>
          <bgColor rgb="FFF4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B56A00"/>
      <rgbColor rgb="FF800080"/>
      <rgbColor rgb="FF008080"/>
      <rgbColor rgb="FFD0C8B8"/>
      <rgbColor rgb="FF5A5A6E"/>
      <rgbColor rgb="FF9999FF"/>
      <rgbColor rgb="FF993366"/>
      <rgbColor rgb="FFFDF6EC"/>
      <rgbColor rgb="FFF0F9F3"/>
      <rgbColor rgb="FF660066"/>
      <rgbColor rgb="FFFF8080"/>
      <rgbColor rgb="FF0066CC"/>
      <rgbColor rgb="FFE8E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ECE8E0"/>
      <rgbColor rgb="FFF4F1EC"/>
      <rgbColor rgb="FFF4F4F6"/>
      <rgbColor rgb="FFF8F6F1"/>
      <rgbColor rgb="FFCC99FF"/>
      <rgbColor rgb="FFFDF2F2"/>
      <rgbColor rgb="FF3366FF"/>
      <rgbColor rgb="FF33CCCC"/>
      <rgbColor rgb="FF99CC00"/>
      <rgbColor rgb="FFFFCC00"/>
      <rgbColor rgb="FFC49A3C"/>
      <rgbColor rgb="FFFF6600"/>
      <rgbColor rgb="FF6A6A6A"/>
      <rgbColor rgb="FF969696"/>
      <rgbColor rgb="FF142248"/>
      <rgbColor rgb="FF339966"/>
      <rgbColor rgb="FF0D1B3E"/>
      <rgbColor rgb="FF333300"/>
      <rgbColor rgb="FF9A1F1F"/>
      <rgbColor rgb="FF993366"/>
      <rgbColor rgb="FF2D5A8E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3E"/>
    <pageSetUpPr fitToPage="fals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22"/>
  </cols>
  <sheetData>
    <row r="1" customFormat="false" ht="7.5" hidden="false" customHeight="true" outlineLevel="0" collapsed="false">
      <c r="A1" s="1"/>
      <c r="B1" s="1"/>
      <c r="C1" s="1"/>
      <c r="D1" s="1"/>
    </row>
    <row r="2" customFormat="false" ht="43.5" hidden="false" customHeight="true" outlineLevel="0" collapsed="false">
      <c r="A2" s="1"/>
      <c r="B2" s="2" t="s">
        <v>0</v>
      </c>
      <c r="C2" s="2"/>
      <c r="D2" s="1"/>
    </row>
    <row r="3" customFormat="false" ht="9.75" hidden="false" customHeight="true" outlineLevel="0" collapsed="false"/>
    <row r="4" customFormat="false" ht="21.75" hidden="false" customHeight="true" outlineLevel="0" collapsed="false">
      <c r="B4" s="3" t="s">
        <v>1</v>
      </c>
    </row>
    <row r="5" customFormat="false" ht="21.75" hidden="false" customHeight="true" outlineLevel="0" collapsed="false">
      <c r="B5" s="4" t="s">
        <v>2</v>
      </c>
    </row>
    <row r="6" customFormat="false" ht="7.5" hidden="false" customHeight="true" outlineLevel="0" collapsed="false">
      <c r="B6" s="4"/>
    </row>
    <row r="7" customFormat="false" ht="21.75" hidden="false" customHeight="true" outlineLevel="0" collapsed="false">
      <c r="B7" s="5" t="s">
        <v>3</v>
      </c>
    </row>
    <row r="8" customFormat="false" ht="21.75" hidden="false" customHeight="true" outlineLevel="0" collapsed="false">
      <c r="B8" s="4" t="s">
        <v>4</v>
      </c>
    </row>
    <row r="9" customFormat="false" ht="7.5" hidden="false" customHeight="true" outlineLevel="0" collapsed="false">
      <c r="B9" s="4"/>
    </row>
    <row r="10" customFormat="false" ht="21.75" hidden="false" customHeight="true" outlineLevel="0" collapsed="false">
      <c r="B10" s="5" t="s">
        <v>5</v>
      </c>
    </row>
    <row r="11" customFormat="false" ht="21.75" hidden="false" customHeight="true" outlineLevel="0" collapsed="false">
      <c r="B11" s="4" t="s">
        <v>6</v>
      </c>
    </row>
    <row r="12" customFormat="false" ht="21.75" hidden="false" customHeight="true" outlineLevel="0" collapsed="false">
      <c r="B12" s="4" t="s">
        <v>7</v>
      </c>
    </row>
    <row r="13" customFormat="false" ht="7.5" hidden="false" customHeight="true" outlineLevel="0" collapsed="false">
      <c r="B13" s="4"/>
    </row>
    <row r="14" customFormat="false" ht="21.75" hidden="false" customHeight="true" outlineLevel="0" collapsed="false">
      <c r="B14" s="5" t="s">
        <v>8</v>
      </c>
    </row>
    <row r="15" customFormat="false" ht="21.75" hidden="false" customHeight="true" outlineLevel="0" collapsed="false">
      <c r="B15" s="4" t="s">
        <v>9</v>
      </c>
    </row>
    <row r="16" customFormat="false" ht="21.75" hidden="false" customHeight="true" outlineLevel="0" collapsed="false">
      <c r="B16" s="4" t="s">
        <v>10</v>
      </c>
    </row>
    <row r="17" customFormat="false" ht="7.5" hidden="false" customHeight="true" outlineLevel="0" collapsed="false">
      <c r="B17" s="4"/>
    </row>
    <row r="18" customFormat="false" ht="21.75" hidden="false" customHeight="true" outlineLevel="0" collapsed="false">
      <c r="B18" s="5" t="s">
        <v>11</v>
      </c>
    </row>
    <row r="19" customFormat="false" ht="21.75" hidden="false" customHeight="true" outlineLevel="0" collapsed="false">
      <c r="B19" s="4" t="s">
        <v>12</v>
      </c>
    </row>
    <row r="20" customFormat="false" ht="7.5" hidden="false" customHeight="true" outlineLevel="0" collapsed="false">
      <c r="B20" s="4"/>
    </row>
    <row r="21" customFormat="false" ht="21.75" hidden="false" customHeight="true" outlineLevel="0" collapsed="false">
      <c r="B21" s="3" t="s">
        <v>13</v>
      </c>
    </row>
    <row r="22" customFormat="false" ht="7.5" hidden="false" customHeight="true" outlineLevel="0" collapsed="false">
      <c r="B22" s="4"/>
    </row>
    <row r="23" customFormat="false" ht="21.75" hidden="false" customHeight="true" outlineLevel="0" collapsed="false">
      <c r="B23" s="6" t="s">
        <v>14</v>
      </c>
    </row>
    <row r="24" customFormat="false" ht="21.75" hidden="false" customHeight="true" outlineLevel="0" collapsed="false">
      <c r="B24" s="4" t="s">
        <v>15</v>
      </c>
    </row>
    <row r="25" customFormat="false" ht="7.5" hidden="false" customHeight="true" outlineLevel="0" collapsed="false">
      <c r="B25" s="4"/>
    </row>
    <row r="26" customFormat="false" ht="21.75" hidden="false" customHeight="true" outlineLevel="0" collapsed="false">
      <c r="B26" s="6" t="s">
        <v>16</v>
      </c>
    </row>
    <row r="27" customFormat="false" ht="21.75" hidden="false" customHeight="true" outlineLevel="0" collapsed="false">
      <c r="B27" s="4" t="s">
        <v>17</v>
      </c>
    </row>
    <row r="28" customFormat="false" ht="21.75" hidden="false" customHeight="true" outlineLevel="0" collapsed="false">
      <c r="B28" s="4" t="s">
        <v>18</v>
      </c>
    </row>
    <row r="29" customFormat="false" ht="21.75" hidden="false" customHeight="true" outlineLevel="0" collapsed="false">
      <c r="B29" s="4" t="s">
        <v>19</v>
      </c>
    </row>
    <row r="30" customFormat="false" ht="21.75" hidden="false" customHeight="true" outlineLevel="0" collapsed="false">
      <c r="B30" s="4" t="s">
        <v>20</v>
      </c>
    </row>
    <row r="31" customFormat="false" ht="21.75" hidden="false" customHeight="true" outlineLevel="0" collapsed="false">
      <c r="B31" s="4" t="s">
        <v>21</v>
      </c>
    </row>
    <row r="32" customFormat="false" ht="7.5" hidden="false" customHeight="true" outlineLevel="0" collapsed="false">
      <c r="B32" s="4"/>
    </row>
    <row r="33" customFormat="false" ht="21.75" hidden="false" customHeight="true" outlineLevel="0" collapsed="false">
      <c r="B33" s="3" t="s">
        <v>22</v>
      </c>
    </row>
    <row r="34" customFormat="false" ht="7.5" hidden="false" customHeight="true" outlineLevel="0" collapsed="false">
      <c r="B34" s="4"/>
    </row>
    <row r="35" customFormat="false" ht="21.75" hidden="false" customHeight="true" outlineLevel="0" collapsed="false">
      <c r="B35" s="7" t="s">
        <v>23</v>
      </c>
    </row>
    <row r="37" customFormat="false" ht="13.5" hidden="false" customHeight="true" outlineLevel="0" collapsed="false">
      <c r="A37" s="1"/>
      <c r="B37" s="8" t="s">
        <v>24</v>
      </c>
      <c r="C37" s="8"/>
      <c r="D37" s="1"/>
    </row>
  </sheetData>
  <mergeCells count="2">
    <mergeCell ref="B2:C2"/>
    <mergeCell ref="B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248"/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8" min="3" style="0" width="16"/>
    <col collapsed="false" customWidth="true" hidden="false" outlineLevel="0" max="9" min="9" style="0" width="1.51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1"/>
      <c r="B2" s="9" t="s">
        <v>25</v>
      </c>
      <c r="C2" s="9"/>
      <c r="D2" s="9"/>
      <c r="E2" s="10" t="s">
        <v>26</v>
      </c>
      <c r="F2" s="10"/>
      <c r="G2" s="10"/>
      <c r="H2" s="10"/>
      <c r="I2" s="1"/>
    </row>
    <row r="3" customFormat="false" ht="7.5" hidden="false" customHeight="true" outlineLevel="0" collapsed="false"/>
    <row r="4" customFormat="false" ht="25.5" hidden="false" customHeight="true" outlineLevel="0" collapsed="false">
      <c r="B4" s="11"/>
      <c r="C4" s="12"/>
      <c r="D4" s="13"/>
      <c r="E4" s="14"/>
      <c r="F4" s="15"/>
      <c r="G4" s="16"/>
    </row>
    <row r="5" customFormat="false" ht="25.5" hidden="false" customHeight="true" outlineLevel="0" collapsed="false">
      <c r="B5" s="17" t="s">
        <v>27</v>
      </c>
      <c r="C5" s="18" t="s">
        <v>28</v>
      </c>
      <c r="D5" s="19" t="s">
        <v>29</v>
      </c>
      <c r="E5" s="20" t="s">
        <v>30</v>
      </c>
      <c r="F5" s="21" t="s">
        <v>31</v>
      </c>
      <c r="G5" s="22" t="s">
        <v>32</v>
      </c>
    </row>
    <row r="6" customFormat="false" ht="25.5" hidden="false" customHeight="true" outlineLevel="0" collapsed="false">
      <c r="B6" s="23" t="n">
        <f aca="false">COUNTA(Iniciativas!B5:B104)</f>
        <v>5</v>
      </c>
      <c r="C6" s="24" t="n">
        <f aca="false">COUNTIF(Iniciativas!E5:E104,"En marcha")</f>
        <v>2</v>
      </c>
      <c r="D6" s="25" t="n">
        <f aca="false">COUNTIF(Iniciativas!E5:E104,"En riesgo")</f>
        <v>1</v>
      </c>
      <c r="E6" s="26" t="n">
        <f aca="false">COUNTIF(Iniciativas!E5:E104,"Retrasada")</f>
        <v>1</v>
      </c>
      <c r="F6" s="27" t="n">
        <f aca="false">COUNTIF(Iniciativas!E5:E104,"Completada")</f>
        <v>0</v>
      </c>
      <c r="G6" s="28" t="n">
        <f aca="false">COUNTIF(Iniciativas!E5:E104,"En pausa")</f>
        <v>1</v>
      </c>
    </row>
    <row r="7" customFormat="false" ht="25.5" hidden="false" customHeight="true" outlineLevel="0" collapsed="false">
      <c r="B7" s="23"/>
      <c r="C7" s="23"/>
      <c r="D7" s="23"/>
      <c r="E7" s="23"/>
      <c r="F7" s="23"/>
      <c r="G7" s="23"/>
    </row>
    <row r="8" customFormat="false" ht="25.5" hidden="false" customHeight="true" outlineLevel="0" collapsed="false">
      <c r="B8" s="23"/>
      <c r="C8" s="23"/>
      <c r="D8" s="23"/>
      <c r="E8" s="23"/>
      <c r="F8" s="23"/>
      <c r="G8" s="23"/>
    </row>
    <row r="9" customFormat="false" ht="25.5" hidden="false" customHeight="true" outlineLevel="0" collapsed="false">
      <c r="B9" s="23"/>
      <c r="C9" s="23"/>
      <c r="D9" s="23"/>
      <c r="E9" s="23"/>
      <c r="F9" s="23"/>
      <c r="G9" s="23"/>
    </row>
    <row r="10" customFormat="false" ht="25.5" hidden="false" customHeight="true" outlineLevel="0" collapsed="false">
      <c r="B10" s="23"/>
      <c r="C10" s="23"/>
      <c r="D10" s="23"/>
      <c r="E10" s="23"/>
      <c r="F10" s="23"/>
      <c r="G10" s="23"/>
    </row>
    <row r="11" customFormat="false" ht="25.5" hidden="false" customHeight="true" outlineLevel="0" collapsed="false">
      <c r="B11" s="11"/>
      <c r="C11" s="12"/>
      <c r="D11" s="13"/>
      <c r="E11" s="14"/>
      <c r="F11" s="15"/>
      <c r="G11" s="16"/>
    </row>
    <row r="12" customFormat="false" ht="7.5" hidden="false" customHeight="true" outlineLevel="0" collapsed="false"/>
    <row r="13" customFormat="false" ht="21.75" hidden="false" customHeight="true" outlineLevel="0" collapsed="false">
      <c r="B13" s="29" t="s">
        <v>33</v>
      </c>
      <c r="C13" s="29"/>
      <c r="D13" s="29"/>
      <c r="E13" s="29"/>
      <c r="F13" s="29"/>
      <c r="G13" s="29"/>
      <c r="H13" s="29"/>
    </row>
    <row r="14" customFormat="false" ht="21.75" hidden="false" customHeight="true" outlineLevel="0" collapsed="false"/>
    <row r="15" customFormat="false" ht="27.75" hidden="false" customHeight="true" outlineLevel="0" collapsed="false">
      <c r="B15" s="30" t="s">
        <v>34</v>
      </c>
      <c r="C15" s="31" t="n">
        <f aca="false">IF((COUNTIF(Iniciativas!E5:E104,"En marcha")+COUNTIF(Iniciativas!E5:E104,"En riesgo")+COUNTIF(Iniciativas!E5:E104,"Retrasada")+COUNTIF(Iniciativas!E5:E104,"En pausa"))=0,0,COUNTIF(Iniciativas!E5:E104,"En marcha")/(COUNTIF(Iniciativas!E5:E104,"En marcha")+COUNTIF(Iniciativas!E5:E104,"En riesgo")+COUNTIF(Iniciativas!E5:E104,"Retrasada")+COUNTIF(Iniciativas!E5:E104,"En pausa")))</f>
        <v>0.4</v>
      </c>
      <c r="D15" s="32" t="str">
        <f aca="false">IF(C15&gt;=0.75,"Portfolio saludable",IF(C15&gt;=0.5,"Portfolio bajo monitoreo","Portfolio en riesgo — atención requerida"))</f>
        <v>Portfolio en riesgo — atención requerida</v>
      </c>
      <c r="E15" s="32"/>
      <c r="F15" s="32"/>
    </row>
    <row r="16" customFormat="false" ht="9.75" hidden="false" customHeight="true" outlineLevel="0" collapsed="false">
      <c r="B16" s="33"/>
      <c r="C16" s="33"/>
      <c r="D16" s="33"/>
      <c r="E16" s="33"/>
      <c r="F16" s="33"/>
      <c r="G16" s="33"/>
      <c r="H16" s="33"/>
    </row>
    <row r="17" customFormat="false" ht="21.75" hidden="false" customHeight="true" outlineLevel="0" collapsed="false"/>
    <row r="18" customFormat="false" ht="7.5" hidden="false" customHeight="true" outlineLevel="0" collapsed="false"/>
    <row r="19" customFormat="false" ht="21.75" hidden="false" customHeight="true" outlineLevel="0" collapsed="false">
      <c r="B19" s="34" t="s">
        <v>35</v>
      </c>
      <c r="C19" s="34"/>
      <c r="D19" s="34"/>
      <c r="E19" s="34"/>
      <c r="F19" s="34"/>
      <c r="G19" s="34"/>
      <c r="H19" s="34"/>
    </row>
    <row r="20" customFormat="false" ht="21.75" hidden="false" customHeight="true" outlineLevel="0" collapsed="false">
      <c r="B20" s="35" t="s">
        <v>36</v>
      </c>
      <c r="C20" s="35" t="s">
        <v>37</v>
      </c>
      <c r="D20" s="35" t="s">
        <v>38</v>
      </c>
      <c r="E20" s="35" t="s">
        <v>39</v>
      </c>
      <c r="F20" s="35" t="s">
        <v>40</v>
      </c>
      <c r="G20" s="35" t="s">
        <v>41</v>
      </c>
    </row>
    <row r="21" customFormat="false" ht="21.75" hidden="false" customHeight="true" outlineLevel="0" collapsed="false">
      <c r="B21" s="36" t="str">
        <f aca="false">IFERROR(INDEX(Iniciativas!B$5:B$104,aggregate(15,6,(ROW(Iniciativas!B$5:B$104)-ROW(Iniciativas!B$5)+1)*((Iniciativas!E$5:E$104="En riesgo")+(Iniciativas!E$5:E$104="Retrasada")),1)),"—")</f>
        <v>—</v>
      </c>
      <c r="C21" s="37" t="str">
        <f aca="false">IFERROR(INDEX(Iniciativas!C$5:C$104,aggregate(15,6,(ROW(Iniciativas!C$5:C$104)-ROW(Iniciativas!C$5)+1)*((Iniciativas!E$5:E$104="En riesgo")+(Iniciativas!E$5:E$104="Retrasada")),1)),"—")</f>
        <v>—</v>
      </c>
      <c r="D21" s="38" t="str">
        <f aca="false">IFERROR(INDEX(Iniciativas!E$5:E$104,aggregate(15,6,(ROW(Iniciativas!E$5:E$104)-ROW(Iniciativas!E$5)+1)*((Iniciativas!E$5:E$104="En riesgo")+(Iniciativas!E$5:E$104="Retrasada")),1)),"—")</f>
        <v>—</v>
      </c>
      <c r="E21" s="39" t="str">
        <f aca="false">IFERROR(INDEX(Iniciativas!F$5:F$104,aggregate(15,6,(ROW(Iniciativas!F$5:F$104)-ROW(Iniciativas!F$5)+1)*((Iniciativas!E$5:E$104="En riesgo")+(Iniciativas!E$5:E$104="Retrasada")),1))/100,"—")</f>
        <v>—</v>
      </c>
      <c r="F21" s="40" t="str">
        <f aca="false">IFERROR(INDEX(Iniciativas!G$5:G$104,aggregate(15,6,(ROW(Iniciativas!G$5:G$104)-ROW(Iniciativas!G$5)+1)*((Iniciativas!E$5:E$104="En riesgo")+(Iniciativas!E$5:E$104="Retrasada")),1)),"—")</f>
        <v>—</v>
      </c>
      <c r="G21" s="41" t="str">
        <f aca="false">IFERROR(INDEX(Iniciativas!J$5:J$104,aggregate(15,6,(ROW(Iniciativas!J$5:J$104)-ROW(Iniciativas!J$5)+1)*((Iniciativas!E$5:E$104="En riesgo")+(Iniciativas!E$5:E$104="Retrasada")),1)),"—")</f>
        <v>—</v>
      </c>
    </row>
    <row r="22" customFormat="false" ht="21.75" hidden="false" customHeight="true" outlineLevel="0" collapsed="false">
      <c r="B22" s="36" t="str">
        <f aca="false">IFERROR(INDEX(Iniciativas!B$5:B$104,aggregate(15,6,(ROW(Iniciativas!B$5:B$104)-ROW(Iniciativas!B$5)+1)*((Iniciativas!E$5:E$104="En riesgo")+(Iniciativas!E$5:E$104="Retrasada")),2)),"—")</f>
        <v>—</v>
      </c>
      <c r="C22" s="37" t="str">
        <f aca="false">IFERROR(INDEX(Iniciativas!C$5:C$104,aggregate(15,6,(ROW(Iniciativas!C$5:C$104)-ROW(Iniciativas!C$5)+1)*((Iniciativas!E$5:E$104="En riesgo")+(Iniciativas!E$5:E$104="Retrasada")),2)),"—")</f>
        <v>—</v>
      </c>
      <c r="D22" s="38" t="str">
        <f aca="false">IFERROR(INDEX(Iniciativas!E$5:E$104,aggregate(15,6,(ROW(Iniciativas!E$5:E$104)-ROW(Iniciativas!E$5)+1)*((Iniciativas!E$5:E$104="En riesgo")+(Iniciativas!E$5:E$104="Retrasada")),2)),"—")</f>
        <v>—</v>
      </c>
      <c r="E22" s="39" t="str">
        <f aca="false">IFERROR(INDEX(Iniciativas!F$5:F$104,aggregate(15,6,(ROW(Iniciativas!F$5:F$104)-ROW(Iniciativas!F$5)+1)*((Iniciativas!E$5:E$104="En riesgo")+(Iniciativas!E$5:E$104="Retrasada")),2))/100,"—")</f>
        <v>—</v>
      </c>
      <c r="F22" s="40" t="str">
        <f aca="false">IFERROR(INDEX(Iniciativas!G$5:G$104,aggregate(15,6,(ROW(Iniciativas!G$5:G$104)-ROW(Iniciativas!G$5)+1)*((Iniciativas!E$5:E$104="En riesgo")+(Iniciativas!E$5:E$104="Retrasada")),2)),"—")</f>
        <v>—</v>
      </c>
      <c r="G22" s="41" t="str">
        <f aca="false">IFERROR(INDEX(Iniciativas!J$5:J$104,aggregate(15,6,(ROW(Iniciativas!J$5:J$104)-ROW(Iniciativas!J$5)+1)*((Iniciativas!E$5:E$104="En riesgo")+(Iniciativas!E$5:E$104="Retrasada")),2)),"—")</f>
        <v>—</v>
      </c>
    </row>
    <row r="23" customFormat="false" ht="21.75" hidden="false" customHeight="true" outlineLevel="0" collapsed="false">
      <c r="B23" s="36" t="str">
        <f aca="false">IFERROR(INDEX(Iniciativas!B$5:B$104,aggregate(15,6,(ROW(Iniciativas!B$5:B$104)-ROW(Iniciativas!B$5)+1)*((Iniciativas!E$5:E$104="En riesgo")+(Iniciativas!E$5:E$104="Retrasada")),3)),"—")</f>
        <v>—</v>
      </c>
      <c r="C23" s="37" t="str">
        <f aca="false">IFERROR(INDEX(Iniciativas!C$5:C$104,aggregate(15,6,(ROW(Iniciativas!C$5:C$104)-ROW(Iniciativas!C$5)+1)*((Iniciativas!E$5:E$104="En riesgo")+(Iniciativas!E$5:E$104="Retrasada")),3)),"—")</f>
        <v>—</v>
      </c>
      <c r="D23" s="38" t="str">
        <f aca="false">IFERROR(INDEX(Iniciativas!E$5:E$104,aggregate(15,6,(ROW(Iniciativas!E$5:E$104)-ROW(Iniciativas!E$5)+1)*((Iniciativas!E$5:E$104="En riesgo")+(Iniciativas!E$5:E$104="Retrasada")),3)),"—")</f>
        <v>—</v>
      </c>
      <c r="E23" s="39" t="str">
        <f aca="false">IFERROR(INDEX(Iniciativas!F$5:F$104,aggregate(15,6,(ROW(Iniciativas!F$5:F$104)-ROW(Iniciativas!F$5)+1)*((Iniciativas!E$5:E$104="En riesgo")+(Iniciativas!E$5:E$104="Retrasada")),3))/100,"—")</f>
        <v>—</v>
      </c>
      <c r="F23" s="40" t="str">
        <f aca="false">IFERROR(INDEX(Iniciativas!G$5:G$104,aggregate(15,6,(ROW(Iniciativas!G$5:G$104)-ROW(Iniciativas!G$5)+1)*((Iniciativas!E$5:E$104="En riesgo")+(Iniciativas!E$5:E$104="Retrasada")),3)),"—")</f>
        <v>—</v>
      </c>
      <c r="G23" s="41" t="str">
        <f aca="false">IFERROR(INDEX(Iniciativas!J$5:J$104,aggregate(15,6,(ROW(Iniciativas!J$5:J$104)-ROW(Iniciativas!J$5)+1)*((Iniciativas!E$5:E$104="En riesgo")+(Iniciativas!E$5:E$104="Retrasada")),3)),"—")</f>
        <v>—</v>
      </c>
    </row>
    <row r="24" customFormat="false" ht="21.75" hidden="false" customHeight="true" outlineLevel="0" collapsed="false">
      <c r="B24" s="36" t="str">
        <f aca="false">IFERROR(INDEX(Iniciativas!B$5:B$104,aggregate(15,6,(ROW(Iniciativas!B$5:B$104)-ROW(Iniciativas!B$5)+1)*((Iniciativas!E$5:E$104="En riesgo")+(Iniciativas!E$5:E$104="Retrasada")),4)),"—")</f>
        <v>—</v>
      </c>
      <c r="C24" s="37" t="str">
        <f aca="false">IFERROR(INDEX(Iniciativas!C$5:C$104,aggregate(15,6,(ROW(Iniciativas!C$5:C$104)-ROW(Iniciativas!C$5)+1)*((Iniciativas!E$5:E$104="En riesgo")+(Iniciativas!E$5:E$104="Retrasada")),4)),"—")</f>
        <v>—</v>
      </c>
      <c r="D24" s="38" t="str">
        <f aca="false">IFERROR(INDEX(Iniciativas!E$5:E$104,aggregate(15,6,(ROW(Iniciativas!E$5:E$104)-ROW(Iniciativas!E$5)+1)*((Iniciativas!E$5:E$104="En riesgo")+(Iniciativas!E$5:E$104="Retrasada")),4)),"—")</f>
        <v>—</v>
      </c>
      <c r="E24" s="39" t="str">
        <f aca="false">IFERROR(INDEX(Iniciativas!F$5:F$104,aggregate(15,6,(ROW(Iniciativas!F$5:F$104)-ROW(Iniciativas!F$5)+1)*((Iniciativas!E$5:E$104="En riesgo")+(Iniciativas!E$5:E$104="Retrasada")),4))/100,"—")</f>
        <v>—</v>
      </c>
      <c r="F24" s="40" t="str">
        <f aca="false">IFERROR(INDEX(Iniciativas!G$5:G$104,aggregate(15,6,(ROW(Iniciativas!G$5:G$104)-ROW(Iniciativas!G$5)+1)*((Iniciativas!E$5:E$104="En riesgo")+(Iniciativas!E$5:E$104="Retrasada")),4)),"—")</f>
        <v>—</v>
      </c>
      <c r="G24" s="41" t="str">
        <f aca="false">IFERROR(INDEX(Iniciativas!J$5:J$104,aggregate(15,6,(ROW(Iniciativas!J$5:J$104)-ROW(Iniciativas!J$5)+1)*((Iniciativas!E$5:E$104="En riesgo")+(Iniciativas!E$5:E$104="Retrasada")),4)),"—")</f>
        <v>—</v>
      </c>
    </row>
    <row r="25" customFormat="false" ht="21.75" hidden="false" customHeight="true" outlineLevel="0" collapsed="false">
      <c r="B25" s="36" t="str">
        <f aca="false">IFERROR(INDEX(Iniciativas!B$5:B$104,aggregate(15,6,(ROW(Iniciativas!B$5:B$104)-ROW(Iniciativas!B$5)+1)*((Iniciativas!E$5:E$104="En riesgo")+(Iniciativas!E$5:E$104="Retrasada")),5)),"—")</f>
        <v>—</v>
      </c>
      <c r="C25" s="37" t="str">
        <f aca="false">IFERROR(INDEX(Iniciativas!C$5:C$104,aggregate(15,6,(ROW(Iniciativas!C$5:C$104)-ROW(Iniciativas!C$5)+1)*((Iniciativas!E$5:E$104="En riesgo")+(Iniciativas!E$5:E$104="Retrasada")),5)),"—")</f>
        <v>—</v>
      </c>
      <c r="D25" s="38" t="str">
        <f aca="false">IFERROR(INDEX(Iniciativas!E$5:E$104,aggregate(15,6,(ROW(Iniciativas!E$5:E$104)-ROW(Iniciativas!E$5)+1)*((Iniciativas!E$5:E$104="En riesgo")+(Iniciativas!E$5:E$104="Retrasada")),5)),"—")</f>
        <v>—</v>
      </c>
      <c r="E25" s="39" t="str">
        <f aca="false">IFERROR(INDEX(Iniciativas!F$5:F$104,aggregate(15,6,(ROW(Iniciativas!F$5:F$104)-ROW(Iniciativas!F$5)+1)*((Iniciativas!E$5:E$104="En riesgo")+(Iniciativas!E$5:E$104="Retrasada")),5))/100,"—")</f>
        <v>—</v>
      </c>
      <c r="F25" s="40" t="str">
        <f aca="false">IFERROR(INDEX(Iniciativas!G$5:G$104,aggregate(15,6,(ROW(Iniciativas!G$5:G$104)-ROW(Iniciativas!G$5)+1)*((Iniciativas!E$5:E$104="En riesgo")+(Iniciativas!E$5:E$104="Retrasada")),5)),"—")</f>
        <v>—</v>
      </c>
      <c r="G25" s="41" t="str">
        <f aca="false">IFERROR(INDEX(Iniciativas!J$5:J$104,aggregate(15,6,(ROW(Iniciativas!J$5:J$104)-ROW(Iniciativas!J$5)+1)*((Iniciativas!E$5:E$104="En riesgo")+(Iniciativas!E$5:E$104="Retrasada")),5)),"—")</f>
        <v>—</v>
      </c>
    </row>
    <row r="26" customFormat="false" ht="21.75" hidden="false" customHeight="true" outlineLevel="0" collapsed="false">
      <c r="B26" s="36" t="str">
        <f aca="false">IFERROR(INDEX(Iniciativas!B$5:B$104,aggregate(15,6,(ROW(Iniciativas!B$5:B$104)-ROW(Iniciativas!B$5)+1)*((Iniciativas!E$5:E$104="En riesgo")+(Iniciativas!E$5:E$104="Retrasada")),6)),"—")</f>
        <v>—</v>
      </c>
      <c r="C26" s="37" t="str">
        <f aca="false">IFERROR(INDEX(Iniciativas!C$5:C$104,aggregate(15,6,(ROW(Iniciativas!C$5:C$104)-ROW(Iniciativas!C$5)+1)*((Iniciativas!E$5:E$104="En riesgo")+(Iniciativas!E$5:E$104="Retrasada")),6)),"—")</f>
        <v>—</v>
      </c>
      <c r="D26" s="38" t="str">
        <f aca="false">IFERROR(INDEX(Iniciativas!E$5:E$104,aggregate(15,6,(ROW(Iniciativas!E$5:E$104)-ROW(Iniciativas!E$5)+1)*((Iniciativas!E$5:E$104="En riesgo")+(Iniciativas!E$5:E$104="Retrasada")),6)),"—")</f>
        <v>—</v>
      </c>
      <c r="E26" s="39" t="str">
        <f aca="false">IFERROR(INDEX(Iniciativas!F$5:F$104,aggregate(15,6,(ROW(Iniciativas!F$5:F$104)-ROW(Iniciativas!F$5)+1)*((Iniciativas!E$5:E$104="En riesgo")+(Iniciativas!E$5:E$104="Retrasada")),6))/100,"—")</f>
        <v>—</v>
      </c>
      <c r="F26" s="40" t="str">
        <f aca="false">IFERROR(INDEX(Iniciativas!G$5:G$104,aggregate(15,6,(ROW(Iniciativas!G$5:G$104)-ROW(Iniciativas!G$5)+1)*((Iniciativas!E$5:E$104="En riesgo")+(Iniciativas!E$5:E$104="Retrasada")),6)),"—")</f>
        <v>—</v>
      </c>
      <c r="G26" s="41" t="str">
        <f aca="false">IFERROR(INDEX(Iniciativas!J$5:J$104,aggregate(15,6,(ROW(Iniciativas!J$5:J$104)-ROW(Iniciativas!J$5)+1)*((Iniciativas!E$5:E$104="En riesgo")+(Iniciativas!E$5:E$104="Retrasada")),6)),"—")</f>
        <v>—</v>
      </c>
    </row>
    <row r="27" customFormat="false" ht="21.75" hidden="false" customHeight="true" outlineLevel="0" collapsed="false">
      <c r="B27" s="36" t="str">
        <f aca="false">IFERROR(INDEX(Iniciativas!B$5:B$104,aggregate(15,6,(ROW(Iniciativas!B$5:B$104)-ROW(Iniciativas!B$5)+1)*((Iniciativas!E$5:E$104="En riesgo")+(Iniciativas!E$5:E$104="Retrasada")),7)),"—")</f>
        <v>—</v>
      </c>
      <c r="C27" s="37" t="str">
        <f aca="false">IFERROR(INDEX(Iniciativas!C$5:C$104,aggregate(15,6,(ROW(Iniciativas!C$5:C$104)-ROW(Iniciativas!C$5)+1)*((Iniciativas!E$5:E$104="En riesgo")+(Iniciativas!E$5:E$104="Retrasada")),7)),"—")</f>
        <v>—</v>
      </c>
      <c r="D27" s="38" t="str">
        <f aca="false">IFERROR(INDEX(Iniciativas!E$5:E$104,aggregate(15,6,(ROW(Iniciativas!E$5:E$104)-ROW(Iniciativas!E$5)+1)*((Iniciativas!E$5:E$104="En riesgo")+(Iniciativas!E$5:E$104="Retrasada")),7)),"—")</f>
        <v>—</v>
      </c>
      <c r="E27" s="39" t="str">
        <f aca="false">IFERROR(INDEX(Iniciativas!F$5:F$104,aggregate(15,6,(ROW(Iniciativas!F$5:F$104)-ROW(Iniciativas!F$5)+1)*((Iniciativas!E$5:E$104="En riesgo")+(Iniciativas!E$5:E$104="Retrasada")),7))/100,"—")</f>
        <v>—</v>
      </c>
      <c r="F27" s="40" t="str">
        <f aca="false">IFERROR(INDEX(Iniciativas!G$5:G$104,aggregate(15,6,(ROW(Iniciativas!G$5:G$104)-ROW(Iniciativas!G$5)+1)*((Iniciativas!E$5:E$104="En riesgo")+(Iniciativas!E$5:E$104="Retrasada")),7)),"—")</f>
        <v>—</v>
      </c>
      <c r="G27" s="41" t="str">
        <f aca="false">IFERROR(INDEX(Iniciativas!J$5:J$104,aggregate(15,6,(ROW(Iniciativas!J$5:J$104)-ROW(Iniciativas!J$5)+1)*((Iniciativas!E$5:E$104="En riesgo")+(Iniciativas!E$5:E$104="Retrasada")),7)),"—")</f>
        <v>—</v>
      </c>
    </row>
    <row r="28" customFormat="false" ht="7.5" hidden="false" customHeight="true" outlineLevel="0" collapsed="false"/>
    <row r="29" customFormat="false" ht="21.75" hidden="false" customHeight="true" outlineLevel="0" collapsed="false">
      <c r="B29" s="29" t="s">
        <v>42</v>
      </c>
      <c r="C29" s="29"/>
      <c r="D29" s="29"/>
      <c r="E29" s="29"/>
      <c r="F29" s="29" t="s">
        <v>43</v>
      </c>
      <c r="G29" s="29"/>
      <c r="H29" s="29"/>
    </row>
    <row r="30" customFormat="false" ht="21.75" hidden="false" customHeight="true" outlineLevel="0" collapsed="false">
      <c r="B30" s="36" t="s">
        <v>44</v>
      </c>
      <c r="C30" s="42" t="n">
        <f aca="false">COUNTIF(Iniciativas!D$5:D$104,"Estrategia")</f>
        <v>0</v>
      </c>
      <c r="D30" s="43" t="str">
        <f aca="false">IFERROR(AVERAGEIF(Iniciativas!D$5:D$104,"Estrategia",Iniciativas!F$5:F$104)/100,"-")</f>
        <v>-</v>
      </c>
      <c r="F30" s="44" t="s">
        <v>45</v>
      </c>
      <c r="G30" s="45" t="n">
        <f aca="false">IFERROR(AVERAGEIF(Iniciativas!E$5:E$104,"En marcha",Iniciativas!F$5:F$104)/100,"-")</f>
        <v>0.00475</v>
      </c>
    </row>
    <row r="31" customFormat="false" ht="21.75" hidden="false" customHeight="true" outlineLevel="0" collapsed="false">
      <c r="B31" s="36" t="s">
        <v>46</v>
      </c>
      <c r="C31" s="42" t="n">
        <f aca="false">COUNTIF(Iniciativas!D$5:D$104,"Crecimiento")</f>
        <v>1</v>
      </c>
      <c r="D31" s="43" t="n">
        <f aca="false">IFERROR(AVERAGEIF(Iniciativas!D$5:D$104,"Crecimiento",Iniciativas!F$5:F$104)/100,"-")</f>
        <v>0.0035</v>
      </c>
      <c r="F31" s="46" t="s">
        <v>47</v>
      </c>
      <c r="G31" s="47" t="n">
        <f aca="false">IFERROR(AVERAGEIF(Iniciativas!E$5:E$104,"En riesgo",Iniciativas!F$5:F$104)/100,"-")</f>
        <v>0.002</v>
      </c>
    </row>
    <row r="32" customFormat="false" ht="21.75" hidden="false" customHeight="true" outlineLevel="0" collapsed="false">
      <c r="B32" s="36" t="s">
        <v>48</v>
      </c>
      <c r="C32" s="42" t="n">
        <f aca="false">COUNTIF(Iniciativas!D$5:D$104,"Operaciones")</f>
        <v>1</v>
      </c>
      <c r="D32" s="43" t="n">
        <f aca="false">IFERROR(AVERAGEIF(Iniciativas!D$5:D$104,"Operaciones",Iniciativas!F$5:F$104)/100,"-")</f>
        <v>0.006</v>
      </c>
      <c r="F32" s="48" t="s">
        <v>49</v>
      </c>
      <c r="G32" s="49" t="n">
        <f aca="false">IFERROR(AVERAGEIF(Iniciativas!E$5:E$104,"Retrasada",Iniciativas!F$5:F$104)/100,"-")</f>
        <v>0.0015</v>
      </c>
    </row>
    <row r="33" customFormat="false" ht="21.75" hidden="false" customHeight="true" outlineLevel="0" collapsed="false">
      <c r="B33" s="36" t="s">
        <v>50</v>
      </c>
      <c r="C33" s="42" t="n">
        <f aca="false">COUNTIF(Iniciativas!D$5:D$104,"Talento")</f>
        <v>1</v>
      </c>
      <c r="D33" s="43" t="n">
        <f aca="false">IFERROR(AVERAGEIF(Iniciativas!D$5:D$104,"Talento",Iniciativas!F$5:F$104)/100,"-")</f>
        <v>0.001</v>
      </c>
      <c r="F33" s="50" t="s">
        <v>51</v>
      </c>
      <c r="G33" s="51" t="str">
        <f aca="false">IFERROR(AVERAGEIF(Iniciativas!E$5:E$104,"Completada",Iniciativas!F$5:F$104)/100,"-")</f>
        <v>-</v>
      </c>
    </row>
    <row r="34" customFormat="false" ht="21.75" hidden="false" customHeight="true" outlineLevel="0" collapsed="false">
      <c r="B34" s="36" t="s">
        <v>52</v>
      </c>
      <c r="C34" s="42" t="n">
        <f aca="false">COUNTIF(Iniciativas!D$5:D$104,"Gobierno")</f>
        <v>2</v>
      </c>
      <c r="D34" s="43" t="n">
        <f aca="false">IFERROR(AVERAGEIF(Iniciativas!D$5:D$104,"Gobierno",Iniciativas!F$5:F$104)/100,"-")</f>
        <v>0.00175</v>
      </c>
      <c r="F34" s="52" t="s">
        <v>53</v>
      </c>
      <c r="G34" s="53" t="n">
        <f aca="false">IFERROR(AVERAGEIF(Iniciativas!E$5:E$104,"En pausa",Iniciativas!F$5:F$104)/100,"-")</f>
        <v>0.001</v>
      </c>
    </row>
    <row r="35" customFormat="false" ht="21.75" hidden="false" customHeight="true" outlineLevel="0" collapsed="false">
      <c r="B35" s="36" t="s">
        <v>54</v>
      </c>
      <c r="C35" s="42" t="n">
        <f aca="false">COUNTIF(Iniciativas!D$5:D$104,"Capital")</f>
        <v>0</v>
      </c>
      <c r="D35" s="43" t="str">
        <f aca="false">IFERROR(AVERAGEIF(Iniciativas!D$5:D$104,"Capital",Iniciativas!F$5:F$104)/100,"-")</f>
        <v>-</v>
      </c>
    </row>
    <row r="36" customFormat="false" ht="21.75" hidden="false" customHeight="true" outlineLevel="0" collapsed="false">
      <c r="B36" s="36" t="s">
        <v>55</v>
      </c>
      <c r="C36" s="42" t="n">
        <f aca="false">COUNTIF(Iniciativas!D$5:D$104,"Transformación")</f>
        <v>0</v>
      </c>
      <c r="D36" s="43" t="str">
        <f aca="false">IFERROR(AVERAGEIF(Iniciativas!D$5:D$104,"Transformación",Iniciativas!F$5:F$104)/100,"-")</f>
        <v>-</v>
      </c>
    </row>
    <row r="37" customFormat="false" ht="21.75" hidden="false" customHeight="true" outlineLevel="0" collapsed="false">
      <c r="B37" s="36" t="s">
        <v>56</v>
      </c>
      <c r="C37" s="42" t="n">
        <f aca="false">COUNTIF(Iniciativas!D$5:D$104,"Mercado")</f>
        <v>0</v>
      </c>
      <c r="D37" s="43" t="str">
        <f aca="false">IFERROR(AVERAGEIF(Iniciativas!D$5:D$104,"Mercado",Iniciativas!F$5:F$104)/100,"-")</f>
        <v>-</v>
      </c>
    </row>
    <row r="38" customFormat="false" ht="7.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13.5" hidden="false" customHeight="true" outlineLevel="0" collapsed="false">
      <c r="A45" s="1"/>
      <c r="B45" s="54" t="s">
        <v>57</v>
      </c>
      <c r="C45" s="54"/>
      <c r="D45" s="54"/>
      <c r="E45" s="54"/>
      <c r="F45" s="54"/>
      <c r="G45" s="54"/>
      <c r="H45" s="54"/>
      <c r="I45" s="1"/>
    </row>
  </sheetData>
  <mergeCells count="15">
    <mergeCell ref="B2:D2"/>
    <mergeCell ref="E2:H2"/>
    <mergeCell ref="B6:B10"/>
    <mergeCell ref="C6:C10"/>
    <mergeCell ref="D6:D10"/>
    <mergeCell ref="E6:E10"/>
    <mergeCell ref="F6:F10"/>
    <mergeCell ref="G6:G10"/>
    <mergeCell ref="B13:H13"/>
    <mergeCell ref="D15:F15"/>
    <mergeCell ref="B16:H16"/>
    <mergeCell ref="B19:H19"/>
    <mergeCell ref="B29:E29"/>
    <mergeCell ref="F29:H29"/>
    <mergeCell ref="B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3C"/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10" min="9" style="0" width="32"/>
    <col collapsed="false" customWidth="true" hidden="false" outlineLevel="0" max="11" min="11" style="0" width="20"/>
    <col collapsed="false" customWidth="true" hidden="false" outlineLevel="0" max="12" min="12" style="0" width="1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6" hidden="false" customHeight="true" outlineLevel="0" collapsed="false">
      <c r="A2" s="1"/>
      <c r="B2" s="9" t="s">
        <v>25</v>
      </c>
      <c r="C2" s="9"/>
      <c r="D2" s="9"/>
      <c r="E2" s="10" t="s">
        <v>58</v>
      </c>
      <c r="F2" s="10"/>
      <c r="G2" s="10"/>
      <c r="H2" s="10"/>
      <c r="I2" s="10"/>
      <c r="J2" s="10"/>
      <c r="K2" s="10"/>
      <c r="L2" s="1"/>
    </row>
    <row r="3" customFormat="false" ht="7.5" hidden="false" customHeight="true" outlineLevel="0" collapsed="false"/>
    <row r="4" customFormat="false" ht="27.75" hidden="false" customHeight="true" outlineLevel="0" collapsed="false">
      <c r="B4" s="55" t="s">
        <v>59</v>
      </c>
      <c r="C4" s="56" t="s">
        <v>60</v>
      </c>
      <c r="D4" s="56" t="s">
        <v>61</v>
      </c>
      <c r="E4" s="56" t="s">
        <v>62</v>
      </c>
      <c r="F4" s="56" t="s">
        <v>63</v>
      </c>
      <c r="G4" s="56" t="s">
        <v>64</v>
      </c>
      <c r="H4" s="56" t="s">
        <v>65</v>
      </c>
      <c r="I4" s="56" t="s">
        <v>66</v>
      </c>
      <c r="J4" s="56" t="s">
        <v>67</v>
      </c>
      <c r="K4" s="56" t="s">
        <v>68</v>
      </c>
      <c r="L4" s="56" t="s">
        <v>69</v>
      </c>
    </row>
    <row r="5" customFormat="false" ht="27.75" hidden="false" customHeight="true" outlineLevel="0" collapsed="false">
      <c r="B5" s="57" t="s">
        <v>70</v>
      </c>
      <c r="C5" s="58" t="s">
        <v>71</v>
      </c>
      <c r="D5" s="59" t="s">
        <v>46</v>
      </c>
      <c r="E5" s="60" t="s">
        <v>45</v>
      </c>
      <c r="F5" s="61" t="n">
        <v>0.35</v>
      </c>
      <c r="G5" s="62" t="s">
        <v>72</v>
      </c>
      <c r="H5" s="63" t="s">
        <v>73</v>
      </c>
      <c r="I5" s="64" t="s">
        <v>74</v>
      </c>
      <c r="J5" s="65" t="s">
        <v>75</v>
      </c>
      <c r="K5" s="66" t="s">
        <v>76</v>
      </c>
      <c r="L5" s="37" t="n">
        <f aca="true">IFERROR(IF(G5="","—",IF(E5="Completada","✓",G5-TODAY())),"—")</f>
        <v>151</v>
      </c>
    </row>
    <row r="6" customFormat="false" ht="27.75" hidden="false" customHeight="true" outlineLevel="0" collapsed="false">
      <c r="B6" s="67" t="s">
        <v>77</v>
      </c>
      <c r="C6" s="68" t="s">
        <v>78</v>
      </c>
      <c r="D6" s="69" t="s">
        <v>52</v>
      </c>
      <c r="E6" s="70" t="s">
        <v>47</v>
      </c>
      <c r="F6" s="71" t="n">
        <v>0.2</v>
      </c>
      <c r="G6" s="72" t="s">
        <v>79</v>
      </c>
      <c r="H6" s="73" t="s">
        <v>80</v>
      </c>
      <c r="I6" s="74" t="s">
        <v>81</v>
      </c>
      <c r="J6" s="75" t="s">
        <v>82</v>
      </c>
      <c r="K6" s="76" t="s">
        <v>83</v>
      </c>
      <c r="L6" s="37" t="n">
        <f aca="true">IFERROR(IF(G6="","—",IF(E6="Completada","✓",G6-TODAY())),"—")</f>
        <v>59</v>
      </c>
    </row>
    <row r="7" customFormat="false" ht="27.75" hidden="false" customHeight="true" outlineLevel="0" collapsed="false">
      <c r="B7" s="57" t="s">
        <v>84</v>
      </c>
      <c r="C7" s="58" t="s">
        <v>85</v>
      </c>
      <c r="D7" s="59" t="s">
        <v>48</v>
      </c>
      <c r="E7" s="60" t="s">
        <v>45</v>
      </c>
      <c r="F7" s="61" t="n">
        <v>0.6</v>
      </c>
      <c r="G7" s="62" t="s">
        <v>86</v>
      </c>
      <c r="H7" s="63" t="s">
        <v>87</v>
      </c>
      <c r="I7" s="64" t="s">
        <v>88</v>
      </c>
      <c r="J7" s="65" t="s">
        <v>89</v>
      </c>
      <c r="K7" s="66" t="s">
        <v>90</v>
      </c>
      <c r="L7" s="37" t="n">
        <f aca="true">IFERROR(IF(G7="","—",IF(E7="Completada","✓",G7-TODAY())),"—")</f>
        <v>90</v>
      </c>
    </row>
    <row r="8" customFormat="false" ht="27.75" hidden="false" customHeight="true" outlineLevel="0" collapsed="false">
      <c r="B8" s="77" t="s">
        <v>91</v>
      </c>
      <c r="C8" s="78" t="s">
        <v>92</v>
      </c>
      <c r="D8" s="79" t="s">
        <v>50</v>
      </c>
      <c r="E8" s="80" t="s">
        <v>53</v>
      </c>
      <c r="F8" s="81" t="n">
        <v>0.1</v>
      </c>
      <c r="G8" s="82" t="s">
        <v>93</v>
      </c>
      <c r="H8" s="83" t="s">
        <v>94</v>
      </c>
      <c r="I8" s="84" t="s">
        <v>95</v>
      </c>
      <c r="J8" s="85" t="s">
        <v>96</v>
      </c>
      <c r="K8" s="86" t="s">
        <v>97</v>
      </c>
      <c r="L8" s="37" t="n">
        <f aca="true">IFERROR(IF(G8="","—",IF(E8="Completada","✓",G8-TODAY())),"—")</f>
        <v>243</v>
      </c>
    </row>
    <row r="9" customFormat="false" ht="27.75" hidden="false" customHeight="true" outlineLevel="0" collapsed="false">
      <c r="B9" s="87" t="s">
        <v>98</v>
      </c>
      <c r="C9" s="88" t="s">
        <v>99</v>
      </c>
      <c r="D9" s="89" t="s">
        <v>52</v>
      </c>
      <c r="E9" s="90" t="s">
        <v>49</v>
      </c>
      <c r="F9" s="91" t="n">
        <v>0.15</v>
      </c>
      <c r="G9" s="92" t="s">
        <v>100</v>
      </c>
      <c r="H9" s="93" t="s">
        <v>101</v>
      </c>
      <c r="I9" s="94" t="s">
        <v>102</v>
      </c>
      <c r="J9" s="95" t="s">
        <v>103</v>
      </c>
      <c r="K9" s="96" t="s">
        <v>104</v>
      </c>
      <c r="L9" s="37" t="n">
        <f aca="true">IFERROR(IF(G9="","—",IF(E9="Completada","✓",G9-TODAY())),"—")</f>
        <v>29</v>
      </c>
    </row>
    <row r="10" customFormat="false" ht="24" hidden="false" customHeight="true" outlineLevel="0" collapsed="false">
      <c r="B10" s="97"/>
      <c r="C10" s="98"/>
      <c r="D10" s="98"/>
      <c r="E10" s="98"/>
      <c r="F10" s="99"/>
      <c r="G10" s="100"/>
      <c r="H10" s="100"/>
      <c r="I10" s="97"/>
      <c r="J10" s="97"/>
      <c r="K10" s="97"/>
      <c r="L10" s="37" t="str">
        <f aca="true">IFERROR(IF(G10="","—",IF(E10="Completada","✓",G10-TODAY())),"—")</f>
        <v>—</v>
      </c>
    </row>
    <row r="11" customFormat="false" ht="24" hidden="false" customHeight="true" outlineLevel="0" collapsed="false">
      <c r="B11" s="97"/>
      <c r="C11" s="98"/>
      <c r="D11" s="98"/>
      <c r="E11" s="98"/>
      <c r="F11" s="99"/>
      <c r="G11" s="100"/>
      <c r="H11" s="100"/>
      <c r="I11" s="97"/>
      <c r="J11" s="97"/>
      <c r="K11" s="97"/>
      <c r="L11" s="37" t="str">
        <f aca="true">IFERROR(IF(G11="","—",IF(E11="Completada","✓",G11-TODAY())),"—")</f>
        <v>—</v>
      </c>
    </row>
    <row r="12" customFormat="false" ht="24" hidden="false" customHeight="true" outlineLevel="0" collapsed="false">
      <c r="B12" s="97"/>
      <c r="C12" s="98"/>
      <c r="D12" s="98"/>
      <c r="E12" s="98"/>
      <c r="F12" s="99"/>
      <c r="G12" s="100"/>
      <c r="H12" s="100"/>
      <c r="I12" s="97"/>
      <c r="J12" s="97"/>
      <c r="K12" s="97"/>
      <c r="L12" s="37" t="str">
        <f aca="true">IFERROR(IF(G12="","—",IF(E12="Completada","✓",G12-TODAY())),"—")</f>
        <v>—</v>
      </c>
    </row>
    <row r="13" customFormat="false" ht="24" hidden="false" customHeight="true" outlineLevel="0" collapsed="false">
      <c r="B13" s="97"/>
      <c r="C13" s="98"/>
      <c r="D13" s="98"/>
      <c r="E13" s="98"/>
      <c r="F13" s="99"/>
      <c r="G13" s="100"/>
      <c r="H13" s="100"/>
      <c r="I13" s="97"/>
      <c r="J13" s="97"/>
      <c r="K13" s="97"/>
      <c r="L13" s="37" t="str">
        <f aca="true">IFERROR(IF(G13="","—",IF(E13="Completada","✓",G13-TODAY())),"—")</f>
        <v>—</v>
      </c>
    </row>
    <row r="14" customFormat="false" ht="24" hidden="false" customHeight="true" outlineLevel="0" collapsed="false">
      <c r="B14" s="97"/>
      <c r="C14" s="98"/>
      <c r="D14" s="98"/>
      <c r="E14" s="98"/>
      <c r="F14" s="99"/>
      <c r="G14" s="100"/>
      <c r="H14" s="100"/>
      <c r="I14" s="97"/>
      <c r="J14" s="97"/>
      <c r="K14" s="97"/>
      <c r="L14" s="37" t="str">
        <f aca="true">IFERROR(IF(G14="","—",IF(E14="Completada","✓",G14-TODAY())),"—")</f>
        <v>—</v>
      </c>
    </row>
    <row r="15" customFormat="false" ht="24" hidden="false" customHeight="true" outlineLevel="0" collapsed="false">
      <c r="B15" s="97"/>
      <c r="C15" s="98"/>
      <c r="D15" s="98"/>
      <c r="E15" s="98"/>
      <c r="F15" s="99"/>
      <c r="G15" s="100"/>
      <c r="H15" s="100"/>
      <c r="I15" s="97"/>
      <c r="J15" s="97"/>
      <c r="K15" s="97"/>
      <c r="L15" s="37" t="str">
        <f aca="true">IFERROR(IF(G15="","—",IF(E15="Completada","✓",G15-TODAY())),"—")</f>
        <v>—</v>
      </c>
    </row>
    <row r="16" customFormat="false" ht="24" hidden="false" customHeight="true" outlineLevel="0" collapsed="false">
      <c r="B16" s="97"/>
      <c r="C16" s="98"/>
      <c r="D16" s="98"/>
      <c r="E16" s="98"/>
      <c r="F16" s="99"/>
      <c r="G16" s="100"/>
      <c r="H16" s="100"/>
      <c r="I16" s="97"/>
      <c r="J16" s="97"/>
      <c r="K16" s="97"/>
      <c r="L16" s="37" t="str">
        <f aca="true">IFERROR(IF(G16="","—",IF(E16="Completada","✓",G16-TODAY())),"—")</f>
        <v>—</v>
      </c>
    </row>
    <row r="17" customFormat="false" ht="24" hidden="false" customHeight="true" outlineLevel="0" collapsed="false">
      <c r="B17" s="97"/>
      <c r="C17" s="98"/>
      <c r="D17" s="98"/>
      <c r="E17" s="98"/>
      <c r="F17" s="99"/>
      <c r="G17" s="100"/>
      <c r="H17" s="100"/>
      <c r="I17" s="97"/>
      <c r="J17" s="97"/>
      <c r="K17" s="97"/>
      <c r="L17" s="37" t="str">
        <f aca="true">IFERROR(IF(G17="","—",IF(E17="Completada","✓",G17-TODAY())),"—")</f>
        <v>—</v>
      </c>
    </row>
    <row r="18" customFormat="false" ht="24" hidden="false" customHeight="true" outlineLevel="0" collapsed="false">
      <c r="B18" s="97"/>
      <c r="C18" s="98"/>
      <c r="D18" s="98"/>
      <c r="E18" s="98"/>
      <c r="F18" s="99"/>
      <c r="G18" s="100"/>
      <c r="H18" s="100"/>
      <c r="I18" s="97"/>
      <c r="J18" s="97"/>
      <c r="K18" s="97"/>
      <c r="L18" s="37" t="str">
        <f aca="true">IFERROR(IF(G18="","—",IF(E18="Completada","✓",G18-TODAY())),"—")</f>
        <v>—</v>
      </c>
    </row>
    <row r="19" customFormat="false" ht="24" hidden="false" customHeight="true" outlineLevel="0" collapsed="false">
      <c r="B19" s="97"/>
      <c r="C19" s="98"/>
      <c r="D19" s="98"/>
      <c r="E19" s="98"/>
      <c r="F19" s="99"/>
      <c r="G19" s="100"/>
      <c r="H19" s="100"/>
      <c r="I19" s="97"/>
      <c r="J19" s="97"/>
      <c r="K19" s="97"/>
      <c r="L19" s="37" t="str">
        <f aca="true">IFERROR(IF(G19="","—",IF(E19="Completada","✓",G19-TODAY())),"—")</f>
        <v>—</v>
      </c>
    </row>
    <row r="20" customFormat="false" ht="24" hidden="false" customHeight="true" outlineLevel="0" collapsed="false">
      <c r="B20" s="97"/>
      <c r="C20" s="98"/>
      <c r="D20" s="98"/>
      <c r="E20" s="98"/>
      <c r="F20" s="99"/>
      <c r="G20" s="100"/>
      <c r="H20" s="100"/>
      <c r="I20" s="97"/>
      <c r="J20" s="97"/>
      <c r="K20" s="97"/>
      <c r="L20" s="37" t="str">
        <f aca="true">IFERROR(IF(G20="","—",IF(E20="Completada","✓",G20-TODAY())),"—")</f>
        <v>—</v>
      </c>
    </row>
    <row r="21" customFormat="false" ht="24" hidden="false" customHeight="true" outlineLevel="0" collapsed="false">
      <c r="B21" s="97"/>
      <c r="C21" s="98"/>
      <c r="D21" s="98"/>
      <c r="E21" s="98"/>
      <c r="F21" s="99"/>
      <c r="G21" s="100"/>
      <c r="H21" s="100"/>
      <c r="I21" s="97"/>
      <c r="J21" s="97"/>
      <c r="K21" s="97"/>
      <c r="L21" s="37" t="str">
        <f aca="true">IFERROR(IF(G21="","—",IF(E21="Completada","✓",G21-TODAY())),"—")</f>
        <v>—</v>
      </c>
    </row>
    <row r="22" customFormat="false" ht="24" hidden="false" customHeight="true" outlineLevel="0" collapsed="false">
      <c r="B22" s="97"/>
      <c r="C22" s="98"/>
      <c r="D22" s="98"/>
      <c r="E22" s="98"/>
      <c r="F22" s="99"/>
      <c r="G22" s="100"/>
      <c r="H22" s="100"/>
      <c r="I22" s="97"/>
      <c r="J22" s="97"/>
      <c r="K22" s="97"/>
      <c r="L22" s="37" t="str">
        <f aca="true">IFERROR(IF(G22="","—",IF(E22="Completada","✓",G22-TODAY())),"—")</f>
        <v>—</v>
      </c>
    </row>
    <row r="23" customFormat="false" ht="24" hidden="false" customHeight="true" outlineLevel="0" collapsed="false">
      <c r="B23" s="97"/>
      <c r="C23" s="98"/>
      <c r="D23" s="98"/>
      <c r="E23" s="98"/>
      <c r="F23" s="99"/>
      <c r="G23" s="100"/>
      <c r="H23" s="100"/>
      <c r="I23" s="97"/>
      <c r="J23" s="97"/>
      <c r="K23" s="97"/>
      <c r="L23" s="37" t="str">
        <f aca="true">IFERROR(IF(G23="","—",IF(E23="Completada","✓",G23-TODAY())),"—")</f>
        <v>—</v>
      </c>
    </row>
    <row r="24" customFormat="false" ht="24" hidden="false" customHeight="true" outlineLevel="0" collapsed="false">
      <c r="B24" s="97"/>
      <c r="C24" s="98"/>
      <c r="D24" s="98"/>
      <c r="E24" s="98"/>
      <c r="F24" s="99"/>
      <c r="G24" s="100"/>
      <c r="H24" s="100"/>
      <c r="I24" s="97"/>
      <c r="J24" s="97"/>
      <c r="K24" s="97"/>
      <c r="L24" s="37" t="str">
        <f aca="true">IFERROR(IF(G24="","—",IF(E24="Completada","✓",G24-TODAY())),"—")</f>
        <v>—</v>
      </c>
    </row>
    <row r="25" customFormat="false" ht="24" hidden="false" customHeight="true" outlineLevel="0" collapsed="false">
      <c r="B25" s="97"/>
      <c r="C25" s="98"/>
      <c r="D25" s="98"/>
      <c r="E25" s="98"/>
      <c r="F25" s="99"/>
      <c r="G25" s="100"/>
      <c r="H25" s="100"/>
      <c r="I25" s="97"/>
      <c r="J25" s="97"/>
      <c r="K25" s="97"/>
      <c r="L25" s="37" t="str">
        <f aca="true">IFERROR(IF(G25="","—",IF(E25="Completada","✓",G25-TODAY())),"—")</f>
        <v>—</v>
      </c>
    </row>
    <row r="26" customFormat="false" ht="24" hidden="false" customHeight="true" outlineLevel="0" collapsed="false">
      <c r="B26" s="97"/>
      <c r="C26" s="98"/>
      <c r="D26" s="98"/>
      <c r="E26" s="98"/>
      <c r="F26" s="99"/>
      <c r="G26" s="100"/>
      <c r="H26" s="100"/>
      <c r="I26" s="97"/>
      <c r="J26" s="97"/>
      <c r="K26" s="97"/>
      <c r="L26" s="37" t="str">
        <f aca="true">IFERROR(IF(G26="","—",IF(E26="Completada","✓",G26-TODAY())),"—")</f>
        <v>—</v>
      </c>
    </row>
    <row r="27" customFormat="false" ht="24" hidden="false" customHeight="true" outlineLevel="0" collapsed="false">
      <c r="B27" s="97"/>
      <c r="C27" s="98"/>
      <c r="D27" s="98"/>
      <c r="E27" s="98"/>
      <c r="F27" s="99"/>
      <c r="G27" s="100"/>
      <c r="H27" s="100"/>
      <c r="I27" s="97"/>
      <c r="J27" s="97"/>
      <c r="K27" s="97"/>
      <c r="L27" s="37" t="str">
        <f aca="true">IFERROR(IF(G27="","—",IF(E27="Completada","✓",G27-TODAY())),"—")</f>
        <v>—</v>
      </c>
    </row>
    <row r="28" customFormat="false" ht="24" hidden="false" customHeight="true" outlineLevel="0" collapsed="false">
      <c r="B28" s="97"/>
      <c r="C28" s="98"/>
      <c r="D28" s="98"/>
      <c r="E28" s="98"/>
      <c r="F28" s="99"/>
      <c r="G28" s="100"/>
      <c r="H28" s="100"/>
      <c r="I28" s="97"/>
      <c r="J28" s="97"/>
      <c r="K28" s="97"/>
      <c r="L28" s="37" t="str">
        <f aca="true">IFERROR(IF(G28="","—",IF(E28="Completada","✓",G28-TODAY())),"—")</f>
        <v>—</v>
      </c>
    </row>
    <row r="29" customFormat="false" ht="24" hidden="false" customHeight="true" outlineLevel="0" collapsed="false">
      <c r="B29" s="97"/>
      <c r="C29" s="98"/>
      <c r="D29" s="98"/>
      <c r="E29" s="98"/>
      <c r="F29" s="99"/>
      <c r="G29" s="100"/>
      <c r="H29" s="100"/>
      <c r="I29" s="97"/>
      <c r="J29" s="97"/>
      <c r="K29" s="97"/>
      <c r="L29" s="37" t="str">
        <f aca="true">IFERROR(IF(G29="","—",IF(E29="Completada","✓",G29-TODAY())),"—")</f>
        <v>—</v>
      </c>
    </row>
    <row r="30" customFormat="false" ht="24" hidden="false" customHeight="true" outlineLevel="0" collapsed="false">
      <c r="B30" s="97"/>
      <c r="C30" s="98"/>
      <c r="D30" s="98"/>
      <c r="E30" s="98"/>
      <c r="F30" s="99"/>
      <c r="G30" s="100"/>
      <c r="H30" s="100"/>
      <c r="I30" s="97"/>
      <c r="J30" s="97"/>
      <c r="K30" s="97"/>
      <c r="L30" s="37" t="str">
        <f aca="true">IFERROR(IF(G30="","—",IF(E30="Completada","✓",G30-TODAY())),"—")</f>
        <v>—</v>
      </c>
    </row>
    <row r="31" customFormat="false" ht="24" hidden="false" customHeight="true" outlineLevel="0" collapsed="false">
      <c r="B31" s="97"/>
      <c r="C31" s="98"/>
      <c r="D31" s="98"/>
      <c r="E31" s="98"/>
      <c r="F31" s="99"/>
      <c r="G31" s="100"/>
      <c r="H31" s="100"/>
      <c r="I31" s="97"/>
      <c r="J31" s="97"/>
      <c r="K31" s="97"/>
      <c r="L31" s="37" t="str">
        <f aca="true">IFERROR(IF(G31="","—",IF(E31="Completada","✓",G31-TODAY())),"—")</f>
        <v>—</v>
      </c>
    </row>
    <row r="32" customFormat="false" ht="24" hidden="false" customHeight="true" outlineLevel="0" collapsed="false">
      <c r="B32" s="97"/>
      <c r="C32" s="98"/>
      <c r="D32" s="98"/>
      <c r="E32" s="98"/>
      <c r="F32" s="99"/>
      <c r="G32" s="100"/>
      <c r="H32" s="100"/>
      <c r="I32" s="97"/>
      <c r="J32" s="97"/>
      <c r="K32" s="97"/>
      <c r="L32" s="37" t="str">
        <f aca="true">IFERROR(IF(G32="","—",IF(E32="Completada","✓",G32-TODAY())),"—")</f>
        <v>—</v>
      </c>
    </row>
    <row r="33" customFormat="false" ht="24" hidden="false" customHeight="true" outlineLevel="0" collapsed="false">
      <c r="B33" s="97"/>
      <c r="C33" s="98"/>
      <c r="D33" s="98"/>
      <c r="E33" s="98"/>
      <c r="F33" s="99"/>
      <c r="G33" s="100"/>
      <c r="H33" s="100"/>
      <c r="I33" s="97"/>
      <c r="J33" s="97"/>
      <c r="K33" s="97"/>
      <c r="L33" s="37" t="str">
        <f aca="true">IFERROR(IF(G33="","—",IF(E33="Completada","✓",G33-TODAY())),"—")</f>
        <v>—</v>
      </c>
    </row>
    <row r="34" customFormat="false" ht="24" hidden="false" customHeight="true" outlineLevel="0" collapsed="false">
      <c r="B34" s="97"/>
      <c r="C34" s="98"/>
      <c r="D34" s="98"/>
      <c r="E34" s="98"/>
      <c r="F34" s="99"/>
      <c r="G34" s="100"/>
      <c r="H34" s="100"/>
      <c r="I34" s="97"/>
      <c r="J34" s="97"/>
      <c r="K34" s="97"/>
      <c r="L34" s="37" t="str">
        <f aca="true">IFERROR(IF(G34="","—",IF(E34="Completada","✓",G34-TODAY())),"—")</f>
        <v>—</v>
      </c>
    </row>
    <row r="35" customFormat="false" ht="24" hidden="false" customHeight="true" outlineLevel="0" collapsed="false">
      <c r="B35" s="97"/>
      <c r="C35" s="98"/>
      <c r="D35" s="98"/>
      <c r="E35" s="98"/>
      <c r="F35" s="99"/>
      <c r="G35" s="100"/>
      <c r="H35" s="100"/>
      <c r="I35" s="97"/>
      <c r="J35" s="97"/>
      <c r="K35" s="97"/>
      <c r="L35" s="37" t="str">
        <f aca="true">IFERROR(IF(G35="","—",IF(E35="Completada","✓",G35-TODAY())),"—")</f>
        <v>—</v>
      </c>
    </row>
    <row r="36" customFormat="false" ht="24" hidden="false" customHeight="true" outlineLevel="0" collapsed="false">
      <c r="B36" s="97"/>
      <c r="C36" s="98"/>
      <c r="D36" s="98"/>
      <c r="E36" s="98"/>
      <c r="F36" s="99"/>
      <c r="G36" s="100"/>
      <c r="H36" s="100"/>
      <c r="I36" s="97"/>
      <c r="J36" s="97"/>
      <c r="K36" s="97"/>
      <c r="L36" s="37" t="str">
        <f aca="true">IFERROR(IF(G36="","—",IF(E36="Completada","✓",G36-TODAY())),"—")</f>
        <v>—</v>
      </c>
    </row>
    <row r="37" customFormat="false" ht="24" hidden="false" customHeight="true" outlineLevel="0" collapsed="false">
      <c r="B37" s="97"/>
      <c r="C37" s="98"/>
      <c r="D37" s="98"/>
      <c r="E37" s="98"/>
      <c r="F37" s="99"/>
      <c r="G37" s="100"/>
      <c r="H37" s="100"/>
      <c r="I37" s="97"/>
      <c r="J37" s="97"/>
      <c r="K37" s="97"/>
      <c r="L37" s="37" t="str">
        <f aca="true">IFERROR(IF(G37="","—",IF(E37="Completada","✓",G37-TODAY())),"—")</f>
        <v>—</v>
      </c>
    </row>
    <row r="38" customFormat="false" ht="24" hidden="false" customHeight="true" outlineLevel="0" collapsed="false">
      <c r="B38" s="97"/>
      <c r="C38" s="98"/>
      <c r="D38" s="98"/>
      <c r="E38" s="98"/>
      <c r="F38" s="99"/>
      <c r="G38" s="100"/>
      <c r="H38" s="100"/>
      <c r="I38" s="97"/>
      <c r="J38" s="97"/>
      <c r="K38" s="97"/>
      <c r="L38" s="37" t="str">
        <f aca="true">IFERROR(IF(G38="","—",IF(E38="Completada","✓",G38-TODAY())),"—")</f>
        <v>—</v>
      </c>
    </row>
    <row r="39" customFormat="false" ht="24" hidden="false" customHeight="true" outlineLevel="0" collapsed="false">
      <c r="B39" s="97"/>
      <c r="C39" s="98"/>
      <c r="D39" s="98"/>
      <c r="E39" s="98"/>
      <c r="F39" s="99"/>
      <c r="G39" s="100"/>
      <c r="H39" s="100"/>
      <c r="I39" s="97"/>
      <c r="J39" s="97"/>
      <c r="K39" s="97"/>
      <c r="L39" s="37" t="str">
        <f aca="true">IFERROR(IF(G39="","—",IF(E39="Completada","✓",G39-TODAY())),"—")</f>
        <v>—</v>
      </c>
    </row>
    <row r="40" customFormat="false" ht="24" hidden="false" customHeight="true" outlineLevel="0" collapsed="false">
      <c r="B40" s="97"/>
      <c r="C40" s="98"/>
      <c r="D40" s="98"/>
      <c r="E40" s="98"/>
      <c r="F40" s="99"/>
      <c r="G40" s="100"/>
      <c r="H40" s="100"/>
      <c r="I40" s="97"/>
      <c r="J40" s="97"/>
      <c r="K40" s="97"/>
      <c r="L40" s="37" t="str">
        <f aca="true">IFERROR(IF(G40="","—",IF(E40="Completada","✓",G40-TODAY())),"—")</f>
        <v>—</v>
      </c>
    </row>
    <row r="41" customFormat="false" ht="24" hidden="false" customHeight="true" outlineLevel="0" collapsed="false">
      <c r="B41" s="97"/>
      <c r="C41" s="98"/>
      <c r="D41" s="98"/>
      <c r="E41" s="98"/>
      <c r="F41" s="99"/>
      <c r="G41" s="100"/>
      <c r="H41" s="100"/>
      <c r="I41" s="97"/>
      <c r="J41" s="97"/>
      <c r="K41" s="97"/>
      <c r="L41" s="37" t="str">
        <f aca="true">IFERROR(IF(G41="","—",IF(E41="Completada","✓",G41-TODAY())),"—")</f>
        <v>—</v>
      </c>
    </row>
    <row r="42" customFormat="false" ht="24" hidden="false" customHeight="true" outlineLevel="0" collapsed="false">
      <c r="B42" s="97"/>
      <c r="C42" s="98"/>
      <c r="D42" s="98"/>
      <c r="E42" s="98"/>
      <c r="F42" s="99"/>
      <c r="G42" s="100"/>
      <c r="H42" s="100"/>
      <c r="I42" s="97"/>
      <c r="J42" s="97"/>
      <c r="K42" s="97"/>
      <c r="L42" s="37" t="str">
        <f aca="true">IFERROR(IF(G42="","—",IF(E42="Completada","✓",G42-TODAY())),"—")</f>
        <v>—</v>
      </c>
    </row>
    <row r="43" customFormat="false" ht="24" hidden="false" customHeight="true" outlineLevel="0" collapsed="false">
      <c r="B43" s="97"/>
      <c r="C43" s="98"/>
      <c r="D43" s="98"/>
      <c r="E43" s="98"/>
      <c r="F43" s="99"/>
      <c r="G43" s="100"/>
      <c r="H43" s="100"/>
      <c r="I43" s="97"/>
      <c r="J43" s="97"/>
      <c r="K43" s="97"/>
      <c r="L43" s="37" t="str">
        <f aca="true">IFERROR(IF(G43="","—",IF(E43="Completada","✓",G43-TODAY())),"—")</f>
        <v>—</v>
      </c>
    </row>
    <row r="44" customFormat="false" ht="24" hidden="false" customHeight="true" outlineLevel="0" collapsed="false">
      <c r="B44" s="97"/>
      <c r="C44" s="98"/>
      <c r="D44" s="98"/>
      <c r="E44" s="98"/>
      <c r="F44" s="99"/>
      <c r="G44" s="100"/>
      <c r="H44" s="100"/>
      <c r="I44" s="97"/>
      <c r="J44" s="97"/>
      <c r="K44" s="97"/>
      <c r="L44" s="37" t="str">
        <f aca="true">IFERROR(IF(G44="","—",IF(E44="Completada","✓",G44-TODAY())),"—")</f>
        <v>—</v>
      </c>
    </row>
    <row r="45" customFormat="false" ht="24" hidden="false" customHeight="true" outlineLevel="0" collapsed="false">
      <c r="B45" s="97"/>
      <c r="C45" s="98"/>
      <c r="D45" s="98"/>
      <c r="E45" s="98"/>
      <c r="F45" s="99"/>
      <c r="G45" s="100"/>
      <c r="H45" s="100"/>
      <c r="I45" s="97"/>
      <c r="J45" s="97"/>
      <c r="K45" s="97"/>
      <c r="L45" s="37" t="str">
        <f aca="true">IFERROR(IF(G45="","—",IF(E45="Completada","✓",G45-TODAY())),"—")</f>
        <v>—</v>
      </c>
    </row>
    <row r="46" customFormat="false" ht="24" hidden="false" customHeight="true" outlineLevel="0" collapsed="false">
      <c r="B46" s="97"/>
      <c r="C46" s="98"/>
      <c r="D46" s="98"/>
      <c r="E46" s="98"/>
      <c r="F46" s="99"/>
      <c r="G46" s="100"/>
      <c r="H46" s="100"/>
      <c r="I46" s="97"/>
      <c r="J46" s="97"/>
      <c r="K46" s="97"/>
      <c r="L46" s="37" t="str">
        <f aca="true">IFERROR(IF(G46="","—",IF(E46="Completada","✓",G46-TODAY())),"—")</f>
        <v>—</v>
      </c>
    </row>
    <row r="47" customFormat="false" ht="24" hidden="false" customHeight="true" outlineLevel="0" collapsed="false">
      <c r="B47" s="97"/>
      <c r="C47" s="98"/>
      <c r="D47" s="98"/>
      <c r="E47" s="98"/>
      <c r="F47" s="99"/>
      <c r="G47" s="100"/>
      <c r="H47" s="100"/>
      <c r="I47" s="97"/>
      <c r="J47" s="97"/>
      <c r="K47" s="97"/>
      <c r="L47" s="37" t="str">
        <f aca="true">IFERROR(IF(G47="","—",IF(E47="Completada","✓",G47-TODAY())),"—")</f>
        <v>—</v>
      </c>
    </row>
    <row r="48" customFormat="false" ht="24" hidden="false" customHeight="true" outlineLevel="0" collapsed="false">
      <c r="B48" s="97"/>
      <c r="C48" s="98"/>
      <c r="D48" s="98"/>
      <c r="E48" s="98"/>
      <c r="F48" s="99"/>
      <c r="G48" s="100"/>
      <c r="H48" s="100"/>
      <c r="I48" s="97"/>
      <c r="J48" s="97"/>
      <c r="K48" s="97"/>
      <c r="L48" s="37" t="str">
        <f aca="true">IFERROR(IF(G48="","—",IF(E48="Completada","✓",G48-TODAY())),"—")</f>
        <v>—</v>
      </c>
    </row>
    <row r="49" customFormat="false" ht="24" hidden="false" customHeight="true" outlineLevel="0" collapsed="false">
      <c r="B49" s="97"/>
      <c r="C49" s="98"/>
      <c r="D49" s="98"/>
      <c r="E49" s="98"/>
      <c r="F49" s="99"/>
      <c r="G49" s="100"/>
      <c r="H49" s="100"/>
      <c r="I49" s="97"/>
      <c r="J49" s="97"/>
      <c r="K49" s="97"/>
      <c r="L49" s="37" t="str">
        <f aca="true">IFERROR(IF(G49="","—",IF(E49="Completada","✓",G49-TODAY())),"—")</f>
        <v>—</v>
      </c>
    </row>
    <row r="50" customFormat="false" ht="24" hidden="false" customHeight="true" outlineLevel="0" collapsed="false">
      <c r="B50" s="97"/>
      <c r="C50" s="98"/>
      <c r="D50" s="98"/>
      <c r="E50" s="98"/>
      <c r="F50" s="99"/>
      <c r="G50" s="100"/>
      <c r="H50" s="100"/>
      <c r="I50" s="97"/>
      <c r="J50" s="97"/>
      <c r="K50" s="97"/>
      <c r="L50" s="37" t="str">
        <f aca="true">IFERROR(IF(G50="","—",IF(E50="Completada","✓",G50-TODAY())),"—")</f>
        <v>—</v>
      </c>
    </row>
    <row r="51" customFormat="false" ht="24" hidden="false" customHeight="true" outlineLevel="0" collapsed="false">
      <c r="B51" s="97"/>
      <c r="C51" s="98"/>
      <c r="D51" s="98"/>
      <c r="E51" s="98"/>
      <c r="F51" s="99"/>
      <c r="G51" s="100"/>
      <c r="H51" s="100"/>
      <c r="I51" s="97"/>
      <c r="J51" s="97"/>
      <c r="K51" s="97"/>
      <c r="L51" s="37" t="str">
        <f aca="true">IFERROR(IF(G51="","—",IF(E51="Completada","✓",G51-TODAY())),"—")</f>
        <v>—</v>
      </c>
    </row>
    <row r="52" customFormat="false" ht="24" hidden="false" customHeight="true" outlineLevel="0" collapsed="false">
      <c r="B52" s="97"/>
      <c r="C52" s="98"/>
      <c r="D52" s="98"/>
      <c r="E52" s="98"/>
      <c r="F52" s="99"/>
      <c r="G52" s="100"/>
      <c r="H52" s="100"/>
      <c r="I52" s="97"/>
      <c r="J52" s="97"/>
      <c r="K52" s="97"/>
      <c r="L52" s="37" t="str">
        <f aca="true">IFERROR(IF(G52="","—",IF(E52="Completada","✓",G52-TODAY())),"—")</f>
        <v>—</v>
      </c>
    </row>
    <row r="53" customFormat="false" ht="24" hidden="false" customHeight="true" outlineLevel="0" collapsed="false">
      <c r="B53" s="97"/>
      <c r="C53" s="98"/>
      <c r="D53" s="98"/>
      <c r="E53" s="98"/>
      <c r="F53" s="99"/>
      <c r="G53" s="100"/>
      <c r="H53" s="100"/>
      <c r="I53" s="97"/>
      <c r="J53" s="97"/>
      <c r="K53" s="97"/>
      <c r="L53" s="37" t="str">
        <f aca="true">IFERROR(IF(G53="","—",IF(E53="Completada","✓",G53-TODAY())),"—")</f>
        <v>—</v>
      </c>
    </row>
    <row r="54" customFormat="false" ht="24" hidden="false" customHeight="true" outlineLevel="0" collapsed="false">
      <c r="B54" s="97"/>
      <c r="C54" s="98"/>
      <c r="D54" s="98"/>
      <c r="E54" s="98"/>
      <c r="F54" s="99"/>
      <c r="G54" s="100"/>
      <c r="H54" s="100"/>
      <c r="I54" s="97"/>
      <c r="J54" s="97"/>
      <c r="K54" s="97"/>
      <c r="L54" s="37" t="str">
        <f aca="true">IFERROR(IF(G54="","—",IF(E54="Completada","✓",G54-TODAY())),"—")</f>
        <v>—</v>
      </c>
    </row>
    <row r="55" customFormat="false" ht="24" hidden="false" customHeight="true" outlineLevel="0" collapsed="false">
      <c r="B55" s="97"/>
      <c r="C55" s="98"/>
      <c r="D55" s="98"/>
      <c r="E55" s="98"/>
      <c r="F55" s="99"/>
      <c r="G55" s="100"/>
      <c r="H55" s="100"/>
      <c r="I55" s="97"/>
      <c r="J55" s="97"/>
      <c r="K55" s="97"/>
      <c r="L55" s="37" t="str">
        <f aca="true">IFERROR(IF(G55="","—",IF(E55="Completada","✓",G55-TODAY())),"—")</f>
        <v>—</v>
      </c>
    </row>
    <row r="56" customFormat="false" ht="24" hidden="false" customHeight="true" outlineLevel="0" collapsed="false">
      <c r="B56" s="97"/>
      <c r="C56" s="98"/>
      <c r="D56" s="98"/>
      <c r="E56" s="98"/>
      <c r="F56" s="99"/>
      <c r="G56" s="100"/>
      <c r="H56" s="100"/>
      <c r="I56" s="97"/>
      <c r="J56" s="97"/>
      <c r="K56" s="97"/>
      <c r="L56" s="37" t="str">
        <f aca="true">IFERROR(IF(G56="","—",IF(E56="Completada","✓",G56-TODAY())),"—")</f>
        <v>—</v>
      </c>
    </row>
    <row r="57" customFormat="false" ht="24" hidden="false" customHeight="true" outlineLevel="0" collapsed="false">
      <c r="B57" s="97"/>
      <c r="C57" s="98"/>
      <c r="D57" s="98"/>
      <c r="E57" s="98"/>
      <c r="F57" s="99"/>
      <c r="G57" s="100"/>
      <c r="H57" s="100"/>
      <c r="I57" s="97"/>
      <c r="J57" s="97"/>
      <c r="K57" s="97"/>
      <c r="L57" s="37" t="str">
        <f aca="true">IFERROR(IF(G57="","—",IF(E57="Completada","✓",G57-TODAY())),"—")</f>
        <v>—</v>
      </c>
    </row>
    <row r="58" customFormat="false" ht="24" hidden="false" customHeight="true" outlineLevel="0" collapsed="false">
      <c r="B58" s="97"/>
      <c r="C58" s="98"/>
      <c r="D58" s="98"/>
      <c r="E58" s="98"/>
      <c r="F58" s="99"/>
      <c r="G58" s="100"/>
      <c r="H58" s="100"/>
      <c r="I58" s="97"/>
      <c r="J58" s="97"/>
      <c r="K58" s="97"/>
      <c r="L58" s="37" t="str">
        <f aca="true">IFERROR(IF(G58="","—",IF(E58="Completada","✓",G58-TODAY())),"—")</f>
        <v>—</v>
      </c>
    </row>
    <row r="59" customFormat="false" ht="24" hidden="false" customHeight="true" outlineLevel="0" collapsed="false">
      <c r="B59" s="97"/>
      <c r="C59" s="98"/>
      <c r="D59" s="98"/>
      <c r="E59" s="98"/>
      <c r="F59" s="99"/>
      <c r="G59" s="100"/>
      <c r="H59" s="100"/>
      <c r="I59" s="97"/>
      <c r="J59" s="97"/>
      <c r="K59" s="97"/>
      <c r="L59" s="37" t="str">
        <f aca="true">IFERROR(IF(G59="","—",IF(E59="Completada","✓",G59-TODAY())),"—")</f>
        <v>—</v>
      </c>
    </row>
    <row r="60" customFormat="false" ht="24" hidden="false" customHeight="true" outlineLevel="0" collapsed="false">
      <c r="B60" s="97"/>
      <c r="C60" s="98"/>
      <c r="D60" s="98"/>
      <c r="E60" s="98"/>
      <c r="F60" s="99"/>
      <c r="G60" s="100"/>
      <c r="H60" s="100"/>
      <c r="I60" s="97"/>
      <c r="J60" s="97"/>
      <c r="K60" s="97"/>
      <c r="L60" s="37" t="str">
        <f aca="true">IFERROR(IF(G60="","—",IF(E60="Completada","✓",G60-TODAY())),"—")</f>
        <v>—</v>
      </c>
    </row>
    <row r="61" customFormat="false" ht="24" hidden="false" customHeight="true" outlineLevel="0" collapsed="false">
      <c r="B61" s="97"/>
      <c r="C61" s="98"/>
      <c r="D61" s="98"/>
      <c r="E61" s="98"/>
      <c r="F61" s="99"/>
      <c r="G61" s="100"/>
      <c r="H61" s="100"/>
      <c r="I61" s="97"/>
      <c r="J61" s="97"/>
      <c r="K61" s="97"/>
      <c r="L61" s="37" t="str">
        <f aca="true">IFERROR(IF(G61="","—",IF(E61="Completada","✓",G61-TODAY())),"—")</f>
        <v>—</v>
      </c>
    </row>
    <row r="62" customFormat="false" ht="24" hidden="false" customHeight="true" outlineLevel="0" collapsed="false">
      <c r="B62" s="97"/>
      <c r="C62" s="98"/>
      <c r="D62" s="98"/>
      <c r="E62" s="98"/>
      <c r="F62" s="99"/>
      <c r="G62" s="100"/>
      <c r="H62" s="100"/>
      <c r="I62" s="97"/>
      <c r="J62" s="97"/>
      <c r="K62" s="97"/>
      <c r="L62" s="37" t="str">
        <f aca="true">IFERROR(IF(G62="","—",IF(E62="Completada","✓",G62-TODAY())),"—")</f>
        <v>—</v>
      </c>
    </row>
    <row r="63" customFormat="false" ht="24" hidden="false" customHeight="true" outlineLevel="0" collapsed="false">
      <c r="B63" s="97"/>
      <c r="C63" s="98"/>
      <c r="D63" s="98"/>
      <c r="E63" s="98"/>
      <c r="F63" s="99"/>
      <c r="G63" s="100"/>
      <c r="H63" s="100"/>
      <c r="I63" s="97"/>
      <c r="J63" s="97"/>
      <c r="K63" s="97"/>
      <c r="L63" s="37" t="str">
        <f aca="true">IFERROR(IF(G63="","—",IF(E63="Completada","✓",G63-TODAY())),"—")</f>
        <v>—</v>
      </c>
    </row>
    <row r="64" customFormat="false" ht="24" hidden="false" customHeight="true" outlineLevel="0" collapsed="false">
      <c r="B64" s="97"/>
      <c r="C64" s="98"/>
      <c r="D64" s="98"/>
      <c r="E64" s="98"/>
      <c r="F64" s="99"/>
      <c r="G64" s="100"/>
      <c r="H64" s="100"/>
      <c r="I64" s="97"/>
      <c r="J64" s="97"/>
      <c r="K64" s="97"/>
      <c r="L64" s="37" t="str">
        <f aca="true">IFERROR(IF(G64="","—",IF(E64="Completada","✓",G64-TODAY())),"—")</f>
        <v>—</v>
      </c>
    </row>
    <row r="65" customFormat="false" ht="24" hidden="false" customHeight="true" outlineLevel="0" collapsed="false">
      <c r="B65" s="97"/>
      <c r="C65" s="98"/>
      <c r="D65" s="98"/>
      <c r="E65" s="98"/>
      <c r="F65" s="99"/>
      <c r="G65" s="100"/>
      <c r="H65" s="100"/>
      <c r="I65" s="97"/>
      <c r="J65" s="97"/>
      <c r="K65" s="97"/>
      <c r="L65" s="37" t="str">
        <f aca="true">IFERROR(IF(G65="","—",IF(E65="Completada","✓",G65-TODAY())),"—")</f>
        <v>—</v>
      </c>
    </row>
    <row r="66" customFormat="false" ht="24" hidden="false" customHeight="true" outlineLevel="0" collapsed="false">
      <c r="B66" s="97"/>
      <c r="C66" s="98"/>
      <c r="D66" s="98"/>
      <c r="E66" s="98"/>
      <c r="F66" s="99"/>
      <c r="G66" s="100"/>
      <c r="H66" s="100"/>
      <c r="I66" s="97"/>
      <c r="J66" s="97"/>
      <c r="K66" s="97"/>
      <c r="L66" s="37" t="str">
        <f aca="true">IFERROR(IF(G66="","—",IF(E66="Completada","✓",G66-TODAY())),"—")</f>
        <v>—</v>
      </c>
    </row>
    <row r="67" customFormat="false" ht="24" hidden="false" customHeight="true" outlineLevel="0" collapsed="false">
      <c r="B67" s="97"/>
      <c r="C67" s="98"/>
      <c r="D67" s="98"/>
      <c r="E67" s="98"/>
      <c r="F67" s="99"/>
      <c r="G67" s="100"/>
      <c r="H67" s="100"/>
      <c r="I67" s="97"/>
      <c r="J67" s="97"/>
      <c r="K67" s="97"/>
      <c r="L67" s="37" t="str">
        <f aca="true">IFERROR(IF(G67="","—",IF(E67="Completada","✓",G67-TODAY())),"—")</f>
        <v>—</v>
      </c>
    </row>
    <row r="68" customFormat="false" ht="24" hidden="false" customHeight="true" outlineLevel="0" collapsed="false">
      <c r="B68" s="97"/>
      <c r="C68" s="98"/>
      <c r="D68" s="98"/>
      <c r="E68" s="98"/>
      <c r="F68" s="99"/>
      <c r="G68" s="100"/>
      <c r="H68" s="100"/>
      <c r="I68" s="97"/>
      <c r="J68" s="97"/>
      <c r="K68" s="97"/>
      <c r="L68" s="37" t="str">
        <f aca="true">IFERROR(IF(G68="","—",IF(E68="Completada","✓",G68-TODAY())),"—")</f>
        <v>—</v>
      </c>
    </row>
    <row r="69" customFormat="false" ht="24" hidden="false" customHeight="true" outlineLevel="0" collapsed="false">
      <c r="B69" s="97"/>
      <c r="C69" s="98"/>
      <c r="D69" s="98"/>
      <c r="E69" s="98"/>
      <c r="F69" s="99"/>
      <c r="G69" s="100"/>
      <c r="H69" s="100"/>
      <c r="I69" s="97"/>
      <c r="J69" s="97"/>
      <c r="K69" s="97"/>
      <c r="L69" s="37" t="str">
        <f aca="true">IFERROR(IF(G69="","—",IF(E69="Completada","✓",G69-TODAY())),"—")</f>
        <v>—</v>
      </c>
    </row>
    <row r="70" customFormat="false" ht="24" hidden="false" customHeight="true" outlineLevel="0" collapsed="false">
      <c r="B70" s="97"/>
      <c r="C70" s="98"/>
      <c r="D70" s="98"/>
      <c r="E70" s="98"/>
      <c r="F70" s="99"/>
      <c r="G70" s="100"/>
      <c r="H70" s="100"/>
      <c r="I70" s="97"/>
      <c r="J70" s="97"/>
      <c r="K70" s="97"/>
      <c r="L70" s="37" t="str">
        <f aca="true">IFERROR(IF(G70="","—",IF(E70="Completada","✓",G70-TODAY())),"—")</f>
        <v>—</v>
      </c>
    </row>
    <row r="71" customFormat="false" ht="24" hidden="false" customHeight="true" outlineLevel="0" collapsed="false">
      <c r="B71" s="97"/>
      <c r="C71" s="98"/>
      <c r="D71" s="98"/>
      <c r="E71" s="98"/>
      <c r="F71" s="99"/>
      <c r="G71" s="100"/>
      <c r="H71" s="100"/>
      <c r="I71" s="97"/>
      <c r="J71" s="97"/>
      <c r="K71" s="97"/>
      <c r="L71" s="37" t="str">
        <f aca="true">IFERROR(IF(G71="","—",IF(E71="Completada","✓",G71-TODAY())),"—")</f>
        <v>—</v>
      </c>
    </row>
    <row r="72" customFormat="false" ht="24" hidden="false" customHeight="true" outlineLevel="0" collapsed="false">
      <c r="B72" s="97"/>
      <c r="C72" s="98"/>
      <c r="D72" s="98"/>
      <c r="E72" s="98"/>
      <c r="F72" s="99"/>
      <c r="G72" s="100"/>
      <c r="H72" s="100"/>
      <c r="I72" s="97"/>
      <c r="J72" s="97"/>
      <c r="K72" s="97"/>
      <c r="L72" s="37" t="str">
        <f aca="true">IFERROR(IF(G72="","—",IF(E72="Completada","✓",G72-TODAY())),"—")</f>
        <v>—</v>
      </c>
    </row>
    <row r="73" customFormat="false" ht="24" hidden="false" customHeight="true" outlineLevel="0" collapsed="false">
      <c r="B73" s="97"/>
      <c r="C73" s="98"/>
      <c r="D73" s="98"/>
      <c r="E73" s="98"/>
      <c r="F73" s="99"/>
      <c r="G73" s="100"/>
      <c r="H73" s="100"/>
      <c r="I73" s="97"/>
      <c r="J73" s="97"/>
      <c r="K73" s="97"/>
      <c r="L73" s="37" t="str">
        <f aca="true">IFERROR(IF(G73="","—",IF(E73="Completada","✓",G73-TODAY())),"—")</f>
        <v>—</v>
      </c>
    </row>
    <row r="74" customFormat="false" ht="24" hidden="false" customHeight="true" outlineLevel="0" collapsed="false">
      <c r="B74" s="97"/>
      <c r="C74" s="98"/>
      <c r="D74" s="98"/>
      <c r="E74" s="98"/>
      <c r="F74" s="99"/>
      <c r="G74" s="100"/>
      <c r="H74" s="100"/>
      <c r="I74" s="97"/>
      <c r="J74" s="97"/>
      <c r="K74" s="97"/>
      <c r="L74" s="37" t="str">
        <f aca="true">IFERROR(IF(G74="","—",IF(E74="Completada","✓",G74-TODAY())),"—")</f>
        <v>—</v>
      </c>
    </row>
    <row r="75" customFormat="false" ht="24" hidden="false" customHeight="true" outlineLevel="0" collapsed="false">
      <c r="B75" s="97"/>
      <c r="C75" s="98"/>
      <c r="D75" s="98"/>
      <c r="E75" s="98"/>
      <c r="F75" s="99"/>
      <c r="G75" s="100"/>
      <c r="H75" s="100"/>
      <c r="I75" s="97"/>
      <c r="J75" s="97"/>
      <c r="K75" s="97"/>
      <c r="L75" s="37" t="str">
        <f aca="true">IFERROR(IF(G75="","—",IF(E75="Completada","✓",G75-TODAY())),"—")</f>
        <v>—</v>
      </c>
    </row>
    <row r="76" customFormat="false" ht="24" hidden="false" customHeight="true" outlineLevel="0" collapsed="false">
      <c r="B76" s="97"/>
      <c r="C76" s="98"/>
      <c r="D76" s="98"/>
      <c r="E76" s="98"/>
      <c r="F76" s="99"/>
      <c r="G76" s="100"/>
      <c r="H76" s="100"/>
      <c r="I76" s="97"/>
      <c r="J76" s="97"/>
      <c r="K76" s="97"/>
      <c r="L76" s="37" t="str">
        <f aca="true">IFERROR(IF(G76="","—",IF(E76="Completada","✓",G76-TODAY())),"—")</f>
        <v>—</v>
      </c>
    </row>
    <row r="77" customFormat="false" ht="24" hidden="false" customHeight="true" outlineLevel="0" collapsed="false">
      <c r="B77" s="97"/>
      <c r="C77" s="98"/>
      <c r="D77" s="98"/>
      <c r="E77" s="98"/>
      <c r="F77" s="99"/>
      <c r="G77" s="100"/>
      <c r="H77" s="100"/>
      <c r="I77" s="97"/>
      <c r="J77" s="97"/>
      <c r="K77" s="97"/>
      <c r="L77" s="37" t="str">
        <f aca="true">IFERROR(IF(G77="","—",IF(E77="Completada","✓",G77-TODAY())),"—")</f>
        <v>—</v>
      </c>
    </row>
    <row r="78" customFormat="false" ht="24" hidden="false" customHeight="true" outlineLevel="0" collapsed="false">
      <c r="B78" s="97"/>
      <c r="C78" s="98"/>
      <c r="D78" s="98"/>
      <c r="E78" s="98"/>
      <c r="F78" s="99"/>
      <c r="G78" s="100"/>
      <c r="H78" s="100"/>
      <c r="I78" s="97"/>
      <c r="J78" s="97"/>
      <c r="K78" s="97"/>
      <c r="L78" s="37" t="str">
        <f aca="true">IFERROR(IF(G78="","—",IF(E78="Completada","✓",G78-TODAY())),"—")</f>
        <v>—</v>
      </c>
    </row>
    <row r="79" customFormat="false" ht="24" hidden="false" customHeight="true" outlineLevel="0" collapsed="false">
      <c r="B79" s="97"/>
      <c r="C79" s="98"/>
      <c r="D79" s="98"/>
      <c r="E79" s="98"/>
      <c r="F79" s="99"/>
      <c r="G79" s="100"/>
      <c r="H79" s="100"/>
      <c r="I79" s="97"/>
      <c r="J79" s="97"/>
      <c r="K79" s="97"/>
      <c r="L79" s="37" t="str">
        <f aca="true">IFERROR(IF(G79="","—",IF(E79="Completada","✓",G79-TODAY())),"—")</f>
        <v>—</v>
      </c>
    </row>
    <row r="80" customFormat="false" ht="24" hidden="false" customHeight="true" outlineLevel="0" collapsed="false">
      <c r="B80" s="97"/>
      <c r="C80" s="98"/>
      <c r="D80" s="98"/>
      <c r="E80" s="98"/>
      <c r="F80" s="99"/>
      <c r="G80" s="100"/>
      <c r="H80" s="100"/>
      <c r="I80" s="97"/>
      <c r="J80" s="97"/>
      <c r="K80" s="97"/>
      <c r="L80" s="37" t="str">
        <f aca="true">IFERROR(IF(G80="","—",IF(E80="Completada","✓",G80-TODAY())),"—")</f>
        <v>—</v>
      </c>
    </row>
    <row r="81" customFormat="false" ht="24" hidden="false" customHeight="true" outlineLevel="0" collapsed="false">
      <c r="B81" s="97"/>
      <c r="C81" s="98"/>
      <c r="D81" s="98"/>
      <c r="E81" s="98"/>
      <c r="F81" s="99"/>
      <c r="G81" s="100"/>
      <c r="H81" s="100"/>
      <c r="I81" s="97"/>
      <c r="J81" s="97"/>
      <c r="K81" s="97"/>
      <c r="L81" s="37" t="str">
        <f aca="true">IFERROR(IF(G81="","—",IF(E81="Completada","✓",G81-TODAY())),"—")</f>
        <v>—</v>
      </c>
    </row>
    <row r="82" customFormat="false" ht="24" hidden="false" customHeight="true" outlineLevel="0" collapsed="false">
      <c r="B82" s="97"/>
      <c r="C82" s="98"/>
      <c r="D82" s="98"/>
      <c r="E82" s="98"/>
      <c r="F82" s="99"/>
      <c r="G82" s="100"/>
      <c r="H82" s="100"/>
      <c r="I82" s="97"/>
      <c r="J82" s="97"/>
      <c r="K82" s="97"/>
      <c r="L82" s="37" t="str">
        <f aca="true">IFERROR(IF(G82="","—",IF(E82="Completada","✓",G82-TODAY())),"—")</f>
        <v>—</v>
      </c>
    </row>
    <row r="83" customFormat="false" ht="24" hidden="false" customHeight="true" outlineLevel="0" collapsed="false">
      <c r="B83" s="97"/>
      <c r="C83" s="98"/>
      <c r="D83" s="98"/>
      <c r="E83" s="98"/>
      <c r="F83" s="99"/>
      <c r="G83" s="100"/>
      <c r="H83" s="100"/>
      <c r="I83" s="97"/>
      <c r="J83" s="97"/>
      <c r="K83" s="97"/>
      <c r="L83" s="37" t="str">
        <f aca="true">IFERROR(IF(G83="","—",IF(E83="Completada","✓",G83-TODAY())),"—")</f>
        <v>—</v>
      </c>
    </row>
    <row r="84" customFormat="false" ht="24" hidden="false" customHeight="true" outlineLevel="0" collapsed="false">
      <c r="B84" s="97"/>
      <c r="C84" s="98"/>
      <c r="D84" s="98"/>
      <c r="E84" s="98"/>
      <c r="F84" s="99"/>
      <c r="G84" s="100"/>
      <c r="H84" s="100"/>
      <c r="I84" s="97"/>
      <c r="J84" s="97"/>
      <c r="K84" s="97"/>
      <c r="L84" s="37" t="str">
        <f aca="true">IFERROR(IF(G84="","—",IF(E84="Completada","✓",G84-TODAY())),"—")</f>
        <v>—</v>
      </c>
    </row>
    <row r="85" customFormat="false" ht="24" hidden="false" customHeight="true" outlineLevel="0" collapsed="false">
      <c r="B85" s="97"/>
      <c r="C85" s="98"/>
      <c r="D85" s="98"/>
      <c r="E85" s="98"/>
      <c r="F85" s="99"/>
      <c r="G85" s="100"/>
      <c r="H85" s="100"/>
      <c r="I85" s="97"/>
      <c r="J85" s="97"/>
      <c r="K85" s="97"/>
      <c r="L85" s="37" t="str">
        <f aca="true">IFERROR(IF(G85="","—",IF(E85="Completada","✓",G85-TODAY())),"—")</f>
        <v>—</v>
      </c>
    </row>
    <row r="86" customFormat="false" ht="24" hidden="false" customHeight="true" outlineLevel="0" collapsed="false">
      <c r="B86" s="97"/>
      <c r="C86" s="98"/>
      <c r="D86" s="98"/>
      <c r="E86" s="98"/>
      <c r="F86" s="99"/>
      <c r="G86" s="100"/>
      <c r="H86" s="100"/>
      <c r="I86" s="97"/>
      <c r="J86" s="97"/>
      <c r="K86" s="97"/>
      <c r="L86" s="37" t="str">
        <f aca="true">IFERROR(IF(G86="","—",IF(E86="Completada","✓",G86-TODAY())),"—")</f>
        <v>—</v>
      </c>
    </row>
    <row r="87" customFormat="false" ht="24" hidden="false" customHeight="true" outlineLevel="0" collapsed="false">
      <c r="B87" s="97"/>
      <c r="C87" s="98"/>
      <c r="D87" s="98"/>
      <c r="E87" s="98"/>
      <c r="F87" s="99"/>
      <c r="G87" s="100"/>
      <c r="H87" s="100"/>
      <c r="I87" s="97"/>
      <c r="J87" s="97"/>
      <c r="K87" s="97"/>
      <c r="L87" s="37" t="str">
        <f aca="true">IFERROR(IF(G87="","—",IF(E87="Completada","✓",G87-TODAY())),"—")</f>
        <v>—</v>
      </c>
    </row>
    <row r="88" customFormat="false" ht="24" hidden="false" customHeight="true" outlineLevel="0" collapsed="false">
      <c r="B88" s="97"/>
      <c r="C88" s="98"/>
      <c r="D88" s="98"/>
      <c r="E88" s="98"/>
      <c r="F88" s="99"/>
      <c r="G88" s="100"/>
      <c r="H88" s="100"/>
      <c r="I88" s="97"/>
      <c r="J88" s="97"/>
      <c r="K88" s="97"/>
      <c r="L88" s="37" t="str">
        <f aca="true">IFERROR(IF(G88="","—",IF(E88="Completada","✓",G88-TODAY())),"—")</f>
        <v>—</v>
      </c>
    </row>
    <row r="89" customFormat="false" ht="24" hidden="false" customHeight="true" outlineLevel="0" collapsed="false">
      <c r="B89" s="97"/>
      <c r="C89" s="98"/>
      <c r="D89" s="98"/>
      <c r="E89" s="98"/>
      <c r="F89" s="99"/>
      <c r="G89" s="100"/>
      <c r="H89" s="100"/>
      <c r="I89" s="97"/>
      <c r="J89" s="97"/>
      <c r="K89" s="97"/>
      <c r="L89" s="37" t="str">
        <f aca="true">IFERROR(IF(G89="","—",IF(E89="Completada","✓",G89-TODAY())),"—")</f>
        <v>—</v>
      </c>
    </row>
    <row r="90" customFormat="false" ht="24" hidden="false" customHeight="true" outlineLevel="0" collapsed="false">
      <c r="B90" s="97"/>
      <c r="C90" s="98"/>
      <c r="D90" s="98"/>
      <c r="E90" s="98"/>
      <c r="F90" s="99"/>
      <c r="G90" s="100"/>
      <c r="H90" s="100"/>
      <c r="I90" s="97"/>
      <c r="J90" s="97"/>
      <c r="K90" s="97"/>
      <c r="L90" s="37" t="str">
        <f aca="true">IFERROR(IF(G90="","—",IF(E90="Completada","✓",G90-TODAY())),"—")</f>
        <v>—</v>
      </c>
    </row>
    <row r="91" customFormat="false" ht="24" hidden="false" customHeight="true" outlineLevel="0" collapsed="false">
      <c r="B91" s="97"/>
      <c r="C91" s="98"/>
      <c r="D91" s="98"/>
      <c r="E91" s="98"/>
      <c r="F91" s="99"/>
      <c r="G91" s="100"/>
      <c r="H91" s="100"/>
      <c r="I91" s="97"/>
      <c r="J91" s="97"/>
      <c r="K91" s="97"/>
      <c r="L91" s="37" t="str">
        <f aca="true">IFERROR(IF(G91="","—",IF(E91="Completada","✓",G91-TODAY())),"—")</f>
        <v>—</v>
      </c>
    </row>
    <row r="92" customFormat="false" ht="24" hidden="false" customHeight="true" outlineLevel="0" collapsed="false">
      <c r="B92" s="97"/>
      <c r="C92" s="98"/>
      <c r="D92" s="98"/>
      <c r="E92" s="98"/>
      <c r="F92" s="99"/>
      <c r="G92" s="100"/>
      <c r="H92" s="100"/>
      <c r="I92" s="97"/>
      <c r="J92" s="97"/>
      <c r="K92" s="97"/>
      <c r="L92" s="37" t="str">
        <f aca="true">IFERROR(IF(G92="","—",IF(E92="Completada","✓",G92-TODAY())),"—")</f>
        <v>—</v>
      </c>
    </row>
    <row r="93" customFormat="false" ht="24" hidden="false" customHeight="true" outlineLevel="0" collapsed="false">
      <c r="B93" s="97"/>
      <c r="C93" s="98"/>
      <c r="D93" s="98"/>
      <c r="E93" s="98"/>
      <c r="F93" s="99"/>
      <c r="G93" s="100"/>
      <c r="H93" s="100"/>
      <c r="I93" s="97"/>
      <c r="J93" s="97"/>
      <c r="K93" s="97"/>
      <c r="L93" s="37" t="str">
        <f aca="true">IFERROR(IF(G93="","—",IF(E93="Completada","✓",G93-TODAY())),"—")</f>
        <v>—</v>
      </c>
    </row>
    <row r="94" customFormat="false" ht="24" hidden="false" customHeight="true" outlineLevel="0" collapsed="false">
      <c r="B94" s="97"/>
      <c r="C94" s="98"/>
      <c r="D94" s="98"/>
      <c r="E94" s="98"/>
      <c r="F94" s="99"/>
      <c r="G94" s="100"/>
      <c r="H94" s="100"/>
      <c r="I94" s="97"/>
      <c r="J94" s="97"/>
      <c r="K94" s="97"/>
      <c r="L94" s="37" t="str">
        <f aca="true">IFERROR(IF(G94="","—",IF(E94="Completada","✓",G94-TODAY())),"—")</f>
        <v>—</v>
      </c>
    </row>
    <row r="95" customFormat="false" ht="24" hidden="false" customHeight="true" outlineLevel="0" collapsed="false">
      <c r="B95" s="97"/>
      <c r="C95" s="98"/>
      <c r="D95" s="98"/>
      <c r="E95" s="98"/>
      <c r="F95" s="99"/>
      <c r="G95" s="100"/>
      <c r="H95" s="100"/>
      <c r="I95" s="97"/>
      <c r="J95" s="97"/>
      <c r="K95" s="97"/>
      <c r="L95" s="37" t="str">
        <f aca="true">IFERROR(IF(G95="","—",IF(E95="Completada","✓",G95-TODAY())),"—")</f>
        <v>—</v>
      </c>
    </row>
    <row r="96" customFormat="false" ht="24" hidden="false" customHeight="true" outlineLevel="0" collapsed="false">
      <c r="B96" s="97"/>
      <c r="C96" s="98"/>
      <c r="D96" s="98"/>
      <c r="E96" s="98"/>
      <c r="F96" s="99"/>
      <c r="G96" s="100"/>
      <c r="H96" s="100"/>
      <c r="I96" s="97"/>
      <c r="J96" s="97"/>
      <c r="K96" s="97"/>
      <c r="L96" s="37" t="str">
        <f aca="true">IFERROR(IF(G96="","—",IF(E96="Completada","✓",G96-TODAY())),"—")</f>
        <v>—</v>
      </c>
    </row>
    <row r="97" customFormat="false" ht="24" hidden="false" customHeight="true" outlineLevel="0" collapsed="false">
      <c r="B97" s="97"/>
      <c r="C97" s="98"/>
      <c r="D97" s="98"/>
      <c r="E97" s="98"/>
      <c r="F97" s="99"/>
      <c r="G97" s="100"/>
      <c r="H97" s="100"/>
      <c r="I97" s="97"/>
      <c r="J97" s="97"/>
      <c r="K97" s="97"/>
      <c r="L97" s="37" t="str">
        <f aca="true">IFERROR(IF(G97="","—",IF(E97="Completada","✓",G97-TODAY())),"—")</f>
        <v>—</v>
      </c>
    </row>
    <row r="98" customFormat="false" ht="24" hidden="false" customHeight="true" outlineLevel="0" collapsed="false">
      <c r="B98" s="97"/>
      <c r="C98" s="98"/>
      <c r="D98" s="98"/>
      <c r="E98" s="98"/>
      <c r="F98" s="99"/>
      <c r="G98" s="100"/>
      <c r="H98" s="100"/>
      <c r="I98" s="97"/>
      <c r="J98" s="97"/>
      <c r="K98" s="97"/>
      <c r="L98" s="37" t="str">
        <f aca="true">IFERROR(IF(G98="","—",IF(E98="Completada","✓",G98-TODAY())),"—")</f>
        <v>—</v>
      </c>
    </row>
    <row r="99" customFormat="false" ht="24" hidden="false" customHeight="true" outlineLevel="0" collapsed="false">
      <c r="B99" s="97"/>
      <c r="C99" s="98"/>
      <c r="D99" s="98"/>
      <c r="E99" s="98"/>
      <c r="F99" s="99"/>
      <c r="G99" s="100"/>
      <c r="H99" s="100"/>
      <c r="I99" s="97"/>
      <c r="J99" s="97"/>
      <c r="K99" s="97"/>
      <c r="L99" s="37" t="str">
        <f aca="true">IFERROR(IF(G99="","—",IF(E99="Completada","✓",G99-TODAY())),"—")</f>
        <v>—</v>
      </c>
    </row>
    <row r="100" customFormat="false" ht="24" hidden="false" customHeight="true" outlineLevel="0" collapsed="false">
      <c r="B100" s="97"/>
      <c r="C100" s="98"/>
      <c r="D100" s="98"/>
      <c r="E100" s="98"/>
      <c r="F100" s="99"/>
      <c r="G100" s="100"/>
      <c r="H100" s="100"/>
      <c r="I100" s="97"/>
      <c r="J100" s="97"/>
      <c r="K100" s="97"/>
      <c r="L100" s="37" t="str">
        <f aca="true">IFERROR(IF(G100="","—",IF(E100="Completada","✓",G100-TODAY())),"—")</f>
        <v>—</v>
      </c>
    </row>
    <row r="101" customFormat="false" ht="24" hidden="false" customHeight="true" outlineLevel="0" collapsed="false">
      <c r="B101" s="97"/>
      <c r="C101" s="98"/>
      <c r="D101" s="98"/>
      <c r="E101" s="98"/>
      <c r="F101" s="99"/>
      <c r="G101" s="100"/>
      <c r="H101" s="100"/>
      <c r="I101" s="97"/>
      <c r="J101" s="97"/>
      <c r="K101" s="97"/>
      <c r="L101" s="37" t="str">
        <f aca="true">IFERROR(IF(G101="","—",IF(E101="Completada","✓",G101-TODAY())),"—")</f>
        <v>—</v>
      </c>
    </row>
    <row r="102" customFormat="false" ht="24" hidden="false" customHeight="true" outlineLevel="0" collapsed="false">
      <c r="B102" s="97"/>
      <c r="C102" s="98"/>
      <c r="D102" s="98"/>
      <c r="E102" s="98"/>
      <c r="F102" s="99"/>
      <c r="G102" s="100"/>
      <c r="H102" s="100"/>
      <c r="I102" s="97"/>
      <c r="J102" s="97"/>
      <c r="K102" s="97"/>
      <c r="L102" s="37" t="str">
        <f aca="true">IFERROR(IF(G102="","—",IF(E102="Completada","✓",G102-TODAY())),"—")</f>
        <v>—</v>
      </c>
    </row>
    <row r="103" customFormat="false" ht="24" hidden="false" customHeight="true" outlineLevel="0" collapsed="false">
      <c r="B103" s="97"/>
      <c r="C103" s="98"/>
      <c r="D103" s="98"/>
      <c r="E103" s="98"/>
      <c r="F103" s="99"/>
      <c r="G103" s="100"/>
      <c r="H103" s="100"/>
      <c r="I103" s="97"/>
      <c r="J103" s="97"/>
      <c r="K103" s="97"/>
      <c r="L103" s="37" t="str">
        <f aca="true">IFERROR(IF(G103="","—",IF(E103="Completada","✓",G103-TODAY())),"—")</f>
        <v>—</v>
      </c>
    </row>
    <row r="104" customFormat="false" ht="24" hidden="false" customHeight="true" outlineLevel="0" collapsed="false">
      <c r="B104" s="97"/>
      <c r="C104" s="98"/>
      <c r="D104" s="98"/>
      <c r="E104" s="98"/>
      <c r="F104" s="99"/>
      <c r="G104" s="100"/>
      <c r="H104" s="100"/>
      <c r="I104" s="97"/>
      <c r="J104" s="97"/>
      <c r="K104" s="97"/>
      <c r="L104" s="37" t="str">
        <f aca="true">IFERROR(IF(G104="","—",IF(E104="Completada","✓",G104-TODAY())),"—")</f>
        <v>—</v>
      </c>
    </row>
  </sheetData>
  <autoFilter ref="B4:L4"/>
  <mergeCells count="2">
    <mergeCell ref="B2:D2"/>
    <mergeCell ref="E2:K2"/>
  </mergeCells>
  <conditionalFormatting sqref="E5:E104">
    <cfRule type="cellIs" priority="2" operator="equal" aboveAverage="0" equalAverage="0" bottom="0" percent="0" rank="0" text="" dxfId="2">
      <formula>"En marcha"</formula>
    </cfRule>
    <cfRule type="cellIs" priority="3" operator="equal" aboveAverage="0" equalAverage="0" bottom="0" percent="0" rank="0" text="" dxfId="3">
      <formula>"En riesgo"</formula>
    </cfRule>
    <cfRule type="cellIs" priority="4" operator="equal" aboveAverage="0" equalAverage="0" bottom="0" percent="0" rank="0" text="" dxfId="4">
      <formula>"Retrasada"</formula>
    </cfRule>
    <cfRule type="cellIs" priority="5" operator="equal" aboveAverage="0" equalAverage="0" bottom="0" percent="0" rank="0" text="" dxfId="5">
      <formula>"Completada"</formula>
    </cfRule>
    <cfRule type="cellIs" priority="6" operator="equal" aboveAverage="0" equalAverage="0" bottom="0" percent="0" rank="0" text="" dxfId="6">
      <formula>"En pausa"</formula>
    </cfRule>
  </conditionalFormatting>
  <conditionalFormatting sqref="F5:F104">
    <cfRule type="colorScale" priority="7">
      <colorScale>
        <cfvo type="num" val="0"/>
        <cfvo type="num" val="50"/>
        <cfvo type="num" val="100"/>
        <color rgb="FFF5C6C6"/>
        <color rgb="FFFDECC8"/>
        <color rgb="FFD4EFE0"/>
      </colorScale>
    </cfRule>
  </conditionalFormatting>
  <dataValidations count="2">
    <dataValidation allowBlank="true" error="Usar: En marcha, En riesgo, Retrasada, Completada, En pausa" errorStyle="stop" errorTitle="Estado inválido" operator="between" showDropDown="false" showErrorMessage="true" showInputMessage="false" sqref="E5:E104" type="list">
      <formula1>"En marcha,En riesgo,Retrasada,Completada,En pausa"</formula1>
      <formula2>0</formula2>
    </dataValidation>
    <dataValidation allowBlank="true" errorStyle="stop" operator="between" showDropDown="false" showErrorMessage="false" showInputMessage="false" sqref="D5:D104" type="list">
      <formula1>"Estrategia,Crecimiento,Operaciones,Talento,Gobierno,Capital,Transformación,Mercado,Otro"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6A6A"/>
    <pageSetUpPr fitToPage="false"/>
  </sheetPr>
  <dimension ref="A1:I30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1"/>
      <c r="B2" s="9" t="s">
        <v>25</v>
      </c>
      <c r="C2" s="9"/>
      <c r="D2" s="9"/>
      <c r="E2" s="10" t="s">
        <v>105</v>
      </c>
      <c r="F2" s="10"/>
      <c r="G2" s="10"/>
      <c r="H2" s="1"/>
    </row>
    <row r="3" customFormat="false" ht="7.5" hidden="false" customHeight="true" outlineLevel="0" collapsed="false"/>
    <row r="4" customFormat="false" ht="27.75" hidden="false" customHeight="true" outlineLevel="0" collapsed="false">
      <c r="B4" s="56" t="s">
        <v>106</v>
      </c>
      <c r="C4" s="56" t="s">
        <v>59</v>
      </c>
      <c r="D4" s="56" t="s">
        <v>107</v>
      </c>
      <c r="E4" s="56" t="s">
        <v>108</v>
      </c>
      <c r="F4" s="56" t="s">
        <v>109</v>
      </c>
      <c r="G4" s="56" t="s">
        <v>110</v>
      </c>
      <c r="H4" s="56" t="s">
        <v>111</v>
      </c>
      <c r="I4" s="56" t="s">
        <v>112</v>
      </c>
    </row>
    <row r="5" customFormat="false" ht="27.75" hidden="false" customHeight="true" outlineLevel="0" collapsed="false">
      <c r="B5" s="40" t="s">
        <v>113</v>
      </c>
      <c r="C5" s="101" t="s">
        <v>70</v>
      </c>
      <c r="D5" s="37" t="s">
        <v>71</v>
      </c>
      <c r="E5" s="102" t="s">
        <v>47</v>
      </c>
      <c r="F5" s="60" t="s">
        <v>45</v>
      </c>
      <c r="G5" s="103" t="s">
        <v>114</v>
      </c>
      <c r="H5" s="104" t="s">
        <v>115</v>
      </c>
      <c r="I5" s="102" t="s">
        <v>78</v>
      </c>
    </row>
    <row r="6" customFormat="false" ht="27.75" hidden="false" customHeight="true" outlineLevel="0" collapsed="false">
      <c r="B6" s="40" t="s">
        <v>116</v>
      </c>
      <c r="C6" s="101" t="s">
        <v>77</v>
      </c>
      <c r="D6" s="37" t="s">
        <v>78</v>
      </c>
      <c r="E6" s="102" t="s">
        <v>45</v>
      </c>
      <c r="F6" s="70" t="s">
        <v>47</v>
      </c>
      <c r="G6" s="103" t="s">
        <v>117</v>
      </c>
      <c r="H6" s="104" t="s">
        <v>118</v>
      </c>
      <c r="I6" s="102" t="s">
        <v>78</v>
      </c>
    </row>
    <row r="7" customFormat="false" ht="27.75" hidden="false" customHeight="true" outlineLevel="0" collapsed="false">
      <c r="B7" s="40" t="s">
        <v>119</v>
      </c>
      <c r="C7" s="101" t="s">
        <v>84</v>
      </c>
      <c r="D7" s="37" t="s">
        <v>85</v>
      </c>
      <c r="E7" s="102" t="s">
        <v>45</v>
      </c>
      <c r="F7" s="60" t="s">
        <v>45</v>
      </c>
      <c r="G7" s="103" t="s">
        <v>120</v>
      </c>
      <c r="H7" s="104" t="s">
        <v>121</v>
      </c>
      <c r="I7" s="102" t="s">
        <v>85</v>
      </c>
    </row>
    <row r="8" customFormat="false" ht="27.75" hidden="false" customHeight="true" outlineLevel="0" collapsed="false">
      <c r="B8" s="40" t="s">
        <v>122</v>
      </c>
      <c r="C8" s="101" t="s">
        <v>98</v>
      </c>
      <c r="D8" s="37" t="s">
        <v>99</v>
      </c>
      <c r="E8" s="102" t="s">
        <v>45</v>
      </c>
      <c r="F8" s="90" t="s">
        <v>49</v>
      </c>
      <c r="G8" s="103" t="s">
        <v>123</v>
      </c>
      <c r="H8" s="104" t="s">
        <v>124</v>
      </c>
      <c r="I8" s="102" t="s">
        <v>78</v>
      </c>
    </row>
    <row r="9" customFormat="false" ht="24" hidden="false" customHeight="true" outlineLevel="0" collapsed="false">
      <c r="B9" s="100"/>
      <c r="C9" s="97"/>
      <c r="D9" s="98"/>
      <c r="E9" s="98"/>
      <c r="F9" s="98"/>
      <c r="G9" s="97"/>
      <c r="H9" s="97"/>
      <c r="I9" s="98"/>
    </row>
    <row r="10" customFormat="false" ht="24" hidden="false" customHeight="true" outlineLevel="0" collapsed="false">
      <c r="B10" s="100"/>
      <c r="C10" s="97"/>
      <c r="D10" s="98"/>
      <c r="E10" s="98"/>
      <c r="F10" s="98"/>
      <c r="G10" s="97"/>
      <c r="H10" s="97"/>
      <c r="I10" s="98"/>
    </row>
    <row r="11" customFormat="false" ht="24" hidden="false" customHeight="true" outlineLevel="0" collapsed="false">
      <c r="B11" s="100"/>
      <c r="C11" s="97"/>
      <c r="D11" s="98"/>
      <c r="E11" s="98"/>
      <c r="F11" s="98"/>
      <c r="G11" s="97"/>
      <c r="H11" s="97"/>
      <c r="I11" s="98"/>
    </row>
    <row r="12" customFormat="false" ht="24" hidden="false" customHeight="true" outlineLevel="0" collapsed="false">
      <c r="B12" s="100"/>
      <c r="C12" s="97"/>
      <c r="D12" s="98"/>
      <c r="E12" s="98"/>
      <c r="F12" s="98"/>
      <c r="G12" s="97"/>
      <c r="H12" s="97"/>
      <c r="I12" s="98"/>
    </row>
    <row r="13" customFormat="false" ht="24" hidden="false" customHeight="true" outlineLevel="0" collapsed="false">
      <c r="B13" s="100"/>
      <c r="C13" s="97"/>
      <c r="D13" s="98"/>
      <c r="E13" s="98"/>
      <c r="F13" s="98"/>
      <c r="G13" s="97"/>
      <c r="H13" s="97"/>
      <c r="I13" s="98"/>
    </row>
    <row r="14" customFormat="false" ht="24" hidden="false" customHeight="true" outlineLevel="0" collapsed="false">
      <c r="B14" s="100"/>
      <c r="C14" s="97"/>
      <c r="D14" s="98"/>
      <c r="E14" s="98"/>
      <c r="F14" s="98"/>
      <c r="G14" s="97"/>
      <c r="H14" s="97"/>
      <c r="I14" s="98"/>
    </row>
    <row r="15" customFormat="false" ht="24" hidden="false" customHeight="true" outlineLevel="0" collapsed="false">
      <c r="B15" s="100"/>
      <c r="C15" s="97"/>
      <c r="D15" s="98"/>
      <c r="E15" s="98"/>
      <c r="F15" s="98"/>
      <c r="G15" s="97"/>
      <c r="H15" s="97"/>
      <c r="I15" s="98"/>
    </row>
    <row r="16" customFormat="false" ht="24" hidden="false" customHeight="true" outlineLevel="0" collapsed="false">
      <c r="B16" s="100"/>
      <c r="C16" s="97"/>
      <c r="D16" s="98"/>
      <c r="E16" s="98"/>
      <c r="F16" s="98"/>
      <c r="G16" s="97"/>
      <c r="H16" s="97"/>
      <c r="I16" s="98"/>
    </row>
    <row r="17" customFormat="false" ht="24" hidden="false" customHeight="true" outlineLevel="0" collapsed="false">
      <c r="B17" s="100"/>
      <c r="C17" s="97"/>
      <c r="D17" s="98"/>
      <c r="E17" s="98"/>
      <c r="F17" s="98"/>
      <c r="G17" s="97"/>
      <c r="H17" s="97"/>
      <c r="I17" s="98"/>
    </row>
    <row r="18" customFormat="false" ht="24" hidden="false" customHeight="true" outlineLevel="0" collapsed="false">
      <c r="B18" s="100"/>
      <c r="C18" s="97"/>
      <c r="D18" s="98"/>
      <c r="E18" s="98"/>
      <c r="F18" s="98"/>
      <c r="G18" s="97"/>
      <c r="H18" s="97"/>
      <c r="I18" s="98"/>
    </row>
    <row r="19" customFormat="false" ht="24" hidden="false" customHeight="true" outlineLevel="0" collapsed="false">
      <c r="B19" s="100"/>
      <c r="C19" s="97"/>
      <c r="D19" s="98"/>
      <c r="E19" s="98"/>
      <c r="F19" s="98"/>
      <c r="G19" s="97"/>
      <c r="H19" s="97"/>
      <c r="I19" s="98"/>
    </row>
    <row r="20" customFormat="false" ht="24" hidden="false" customHeight="true" outlineLevel="0" collapsed="false">
      <c r="B20" s="100"/>
      <c r="C20" s="97"/>
      <c r="D20" s="98"/>
      <c r="E20" s="98"/>
      <c r="F20" s="98"/>
      <c r="G20" s="97"/>
      <c r="H20" s="97"/>
      <c r="I20" s="98"/>
    </row>
    <row r="21" customFormat="false" ht="24" hidden="false" customHeight="true" outlineLevel="0" collapsed="false">
      <c r="B21" s="100"/>
      <c r="C21" s="97"/>
      <c r="D21" s="98"/>
      <c r="E21" s="98"/>
      <c r="F21" s="98"/>
      <c r="G21" s="97"/>
      <c r="H21" s="97"/>
      <c r="I21" s="98"/>
    </row>
    <row r="22" customFormat="false" ht="24" hidden="false" customHeight="true" outlineLevel="0" collapsed="false">
      <c r="B22" s="100"/>
      <c r="C22" s="97"/>
      <c r="D22" s="98"/>
      <c r="E22" s="98"/>
      <c r="F22" s="98"/>
      <c r="G22" s="97"/>
      <c r="H22" s="97"/>
      <c r="I22" s="98"/>
    </row>
    <row r="23" customFormat="false" ht="24" hidden="false" customHeight="true" outlineLevel="0" collapsed="false">
      <c r="B23" s="100"/>
      <c r="C23" s="97"/>
      <c r="D23" s="98"/>
      <c r="E23" s="98"/>
      <c r="F23" s="98"/>
      <c r="G23" s="97"/>
      <c r="H23" s="97"/>
      <c r="I23" s="98"/>
    </row>
    <row r="24" customFormat="false" ht="24" hidden="false" customHeight="true" outlineLevel="0" collapsed="false">
      <c r="B24" s="100"/>
      <c r="C24" s="97"/>
      <c r="D24" s="98"/>
      <c r="E24" s="98"/>
      <c r="F24" s="98"/>
      <c r="G24" s="97"/>
      <c r="H24" s="97"/>
      <c r="I24" s="98"/>
    </row>
    <row r="25" customFormat="false" ht="24" hidden="false" customHeight="true" outlineLevel="0" collapsed="false">
      <c r="B25" s="100"/>
      <c r="C25" s="97"/>
      <c r="D25" s="98"/>
      <c r="E25" s="98"/>
      <c r="F25" s="98"/>
      <c r="G25" s="97"/>
      <c r="H25" s="97"/>
      <c r="I25" s="98"/>
    </row>
    <row r="26" customFormat="false" ht="24" hidden="false" customHeight="true" outlineLevel="0" collapsed="false">
      <c r="B26" s="100"/>
      <c r="C26" s="97"/>
      <c r="D26" s="98"/>
      <c r="E26" s="98"/>
      <c r="F26" s="98"/>
      <c r="G26" s="97"/>
      <c r="H26" s="97"/>
      <c r="I26" s="98"/>
    </row>
    <row r="27" customFormat="false" ht="24" hidden="false" customHeight="true" outlineLevel="0" collapsed="false">
      <c r="B27" s="100"/>
      <c r="C27" s="97"/>
      <c r="D27" s="98"/>
      <c r="E27" s="98"/>
      <c r="F27" s="98"/>
      <c r="G27" s="97"/>
      <c r="H27" s="97"/>
      <c r="I27" s="98"/>
    </row>
    <row r="28" customFormat="false" ht="24" hidden="false" customHeight="true" outlineLevel="0" collapsed="false">
      <c r="B28" s="100"/>
      <c r="C28" s="97"/>
      <c r="D28" s="98"/>
      <c r="E28" s="98"/>
      <c r="F28" s="98"/>
      <c r="G28" s="97"/>
      <c r="H28" s="97"/>
      <c r="I28" s="98"/>
    </row>
    <row r="29" customFormat="false" ht="24" hidden="false" customHeight="true" outlineLevel="0" collapsed="false">
      <c r="B29" s="100"/>
      <c r="C29" s="97"/>
      <c r="D29" s="98"/>
      <c r="E29" s="98"/>
      <c r="F29" s="98"/>
      <c r="G29" s="97"/>
      <c r="H29" s="97"/>
      <c r="I29" s="98"/>
    </row>
    <row r="30" customFormat="false" ht="24" hidden="false" customHeight="true" outlineLevel="0" collapsed="false">
      <c r="B30" s="100"/>
      <c r="C30" s="97"/>
      <c r="D30" s="98"/>
      <c r="E30" s="98"/>
      <c r="F30" s="98"/>
      <c r="G30" s="97"/>
      <c r="H30" s="97"/>
      <c r="I30" s="98"/>
    </row>
    <row r="31" customFormat="false" ht="24" hidden="false" customHeight="true" outlineLevel="0" collapsed="false">
      <c r="B31" s="100"/>
      <c r="C31" s="97"/>
      <c r="D31" s="98"/>
      <c r="E31" s="98"/>
      <c r="F31" s="98"/>
      <c r="G31" s="97"/>
      <c r="H31" s="97"/>
      <c r="I31" s="98"/>
    </row>
    <row r="32" customFormat="false" ht="24" hidden="false" customHeight="true" outlineLevel="0" collapsed="false">
      <c r="B32" s="100"/>
      <c r="C32" s="97"/>
      <c r="D32" s="98"/>
      <c r="E32" s="98"/>
      <c r="F32" s="98"/>
      <c r="G32" s="97"/>
      <c r="H32" s="97"/>
      <c r="I32" s="98"/>
    </row>
    <row r="33" customFormat="false" ht="24" hidden="false" customHeight="true" outlineLevel="0" collapsed="false">
      <c r="B33" s="100"/>
      <c r="C33" s="97"/>
      <c r="D33" s="98"/>
      <c r="E33" s="98"/>
      <c r="F33" s="98"/>
      <c r="G33" s="97"/>
      <c r="H33" s="97"/>
      <c r="I33" s="98"/>
    </row>
    <row r="34" customFormat="false" ht="24" hidden="false" customHeight="true" outlineLevel="0" collapsed="false">
      <c r="B34" s="100"/>
      <c r="C34" s="97"/>
      <c r="D34" s="98"/>
      <c r="E34" s="98"/>
      <c r="F34" s="98"/>
      <c r="G34" s="97"/>
      <c r="H34" s="97"/>
      <c r="I34" s="98"/>
    </row>
    <row r="35" customFormat="false" ht="24" hidden="false" customHeight="true" outlineLevel="0" collapsed="false">
      <c r="B35" s="100"/>
      <c r="C35" s="97"/>
      <c r="D35" s="98"/>
      <c r="E35" s="98"/>
      <c r="F35" s="98"/>
      <c r="G35" s="97"/>
      <c r="H35" s="97"/>
      <c r="I35" s="98"/>
    </row>
    <row r="36" customFormat="false" ht="24" hidden="false" customHeight="true" outlineLevel="0" collapsed="false">
      <c r="B36" s="100"/>
      <c r="C36" s="97"/>
      <c r="D36" s="98"/>
      <c r="E36" s="98"/>
      <c r="F36" s="98"/>
      <c r="G36" s="97"/>
      <c r="H36" s="97"/>
      <c r="I36" s="98"/>
    </row>
    <row r="37" customFormat="false" ht="24" hidden="false" customHeight="true" outlineLevel="0" collapsed="false">
      <c r="B37" s="100"/>
      <c r="C37" s="97"/>
      <c r="D37" s="98"/>
      <c r="E37" s="98"/>
      <c r="F37" s="98"/>
      <c r="G37" s="97"/>
      <c r="H37" s="97"/>
      <c r="I37" s="98"/>
    </row>
    <row r="38" customFormat="false" ht="24" hidden="false" customHeight="true" outlineLevel="0" collapsed="false">
      <c r="B38" s="100"/>
      <c r="C38" s="97"/>
      <c r="D38" s="98"/>
      <c r="E38" s="98"/>
      <c r="F38" s="98"/>
      <c r="G38" s="97"/>
      <c r="H38" s="97"/>
      <c r="I38" s="98"/>
    </row>
    <row r="39" customFormat="false" ht="24" hidden="false" customHeight="true" outlineLevel="0" collapsed="false">
      <c r="B39" s="100"/>
      <c r="C39" s="97"/>
      <c r="D39" s="98"/>
      <c r="E39" s="98"/>
      <c r="F39" s="98"/>
      <c r="G39" s="97"/>
      <c r="H39" s="97"/>
      <c r="I39" s="98"/>
    </row>
    <row r="40" customFormat="false" ht="24" hidden="false" customHeight="true" outlineLevel="0" collapsed="false">
      <c r="B40" s="100"/>
      <c r="C40" s="97"/>
      <c r="D40" s="98"/>
      <c r="E40" s="98"/>
      <c r="F40" s="98"/>
      <c r="G40" s="97"/>
      <c r="H40" s="97"/>
      <c r="I40" s="98"/>
    </row>
    <row r="41" customFormat="false" ht="24" hidden="false" customHeight="true" outlineLevel="0" collapsed="false">
      <c r="B41" s="100"/>
      <c r="C41" s="97"/>
      <c r="D41" s="98"/>
      <c r="E41" s="98"/>
      <c r="F41" s="98"/>
      <c r="G41" s="97"/>
      <c r="H41" s="97"/>
      <c r="I41" s="98"/>
    </row>
    <row r="42" customFormat="false" ht="24" hidden="false" customHeight="true" outlineLevel="0" collapsed="false">
      <c r="B42" s="100"/>
      <c r="C42" s="97"/>
      <c r="D42" s="98"/>
      <c r="E42" s="98"/>
      <c r="F42" s="98"/>
      <c r="G42" s="97"/>
      <c r="H42" s="97"/>
      <c r="I42" s="98"/>
    </row>
    <row r="43" customFormat="false" ht="24" hidden="false" customHeight="true" outlineLevel="0" collapsed="false">
      <c r="B43" s="100"/>
      <c r="C43" s="97"/>
      <c r="D43" s="98"/>
      <c r="E43" s="98"/>
      <c r="F43" s="98"/>
      <c r="G43" s="97"/>
      <c r="H43" s="97"/>
      <c r="I43" s="98"/>
    </row>
    <row r="44" customFormat="false" ht="24" hidden="false" customHeight="true" outlineLevel="0" collapsed="false">
      <c r="B44" s="100"/>
      <c r="C44" s="97"/>
      <c r="D44" s="98"/>
      <c r="E44" s="98"/>
      <c r="F44" s="98"/>
      <c r="G44" s="97"/>
      <c r="H44" s="97"/>
      <c r="I44" s="98"/>
    </row>
    <row r="45" customFormat="false" ht="24" hidden="false" customHeight="true" outlineLevel="0" collapsed="false">
      <c r="B45" s="100"/>
      <c r="C45" s="97"/>
      <c r="D45" s="98"/>
      <c r="E45" s="98"/>
      <c r="F45" s="98"/>
      <c r="G45" s="97"/>
      <c r="H45" s="97"/>
      <c r="I45" s="98"/>
    </row>
    <row r="46" customFormat="false" ht="24" hidden="false" customHeight="true" outlineLevel="0" collapsed="false">
      <c r="B46" s="100"/>
      <c r="C46" s="97"/>
      <c r="D46" s="98"/>
      <c r="E46" s="98"/>
      <c r="F46" s="98"/>
      <c r="G46" s="97"/>
      <c r="H46" s="97"/>
      <c r="I46" s="98"/>
    </row>
    <row r="47" customFormat="false" ht="24" hidden="false" customHeight="true" outlineLevel="0" collapsed="false">
      <c r="B47" s="100"/>
      <c r="C47" s="97"/>
      <c r="D47" s="98"/>
      <c r="E47" s="98"/>
      <c r="F47" s="98"/>
      <c r="G47" s="97"/>
      <c r="H47" s="97"/>
      <c r="I47" s="98"/>
    </row>
    <row r="48" customFormat="false" ht="24" hidden="false" customHeight="true" outlineLevel="0" collapsed="false">
      <c r="B48" s="100"/>
      <c r="C48" s="97"/>
      <c r="D48" s="98"/>
      <c r="E48" s="98"/>
      <c r="F48" s="98"/>
      <c r="G48" s="97"/>
      <c r="H48" s="97"/>
      <c r="I48" s="98"/>
    </row>
    <row r="49" customFormat="false" ht="24" hidden="false" customHeight="true" outlineLevel="0" collapsed="false">
      <c r="B49" s="100"/>
      <c r="C49" s="97"/>
      <c r="D49" s="98"/>
      <c r="E49" s="98"/>
      <c r="F49" s="98"/>
      <c r="G49" s="97"/>
      <c r="H49" s="97"/>
      <c r="I49" s="98"/>
    </row>
    <row r="50" customFormat="false" ht="24" hidden="false" customHeight="true" outlineLevel="0" collapsed="false">
      <c r="B50" s="100"/>
      <c r="C50" s="97"/>
      <c r="D50" s="98"/>
      <c r="E50" s="98"/>
      <c r="F50" s="98"/>
      <c r="G50" s="97"/>
      <c r="H50" s="97"/>
      <c r="I50" s="98"/>
    </row>
    <row r="51" customFormat="false" ht="24" hidden="false" customHeight="true" outlineLevel="0" collapsed="false">
      <c r="B51" s="100"/>
      <c r="C51" s="97"/>
      <c r="D51" s="98"/>
      <c r="E51" s="98"/>
      <c r="F51" s="98"/>
      <c r="G51" s="97"/>
      <c r="H51" s="97"/>
      <c r="I51" s="98"/>
    </row>
    <row r="52" customFormat="false" ht="24" hidden="false" customHeight="true" outlineLevel="0" collapsed="false">
      <c r="B52" s="100"/>
      <c r="C52" s="97"/>
      <c r="D52" s="98"/>
      <c r="E52" s="98"/>
      <c r="F52" s="98"/>
      <c r="G52" s="97"/>
      <c r="H52" s="97"/>
      <c r="I52" s="98"/>
    </row>
    <row r="53" customFormat="false" ht="24" hidden="false" customHeight="true" outlineLevel="0" collapsed="false">
      <c r="B53" s="100"/>
      <c r="C53" s="97"/>
      <c r="D53" s="98"/>
      <c r="E53" s="98"/>
      <c r="F53" s="98"/>
      <c r="G53" s="97"/>
      <c r="H53" s="97"/>
      <c r="I53" s="98"/>
    </row>
    <row r="54" customFormat="false" ht="24" hidden="false" customHeight="true" outlineLevel="0" collapsed="false">
      <c r="B54" s="100"/>
      <c r="C54" s="97"/>
      <c r="D54" s="98"/>
      <c r="E54" s="98"/>
      <c r="F54" s="98"/>
      <c r="G54" s="97"/>
      <c r="H54" s="97"/>
      <c r="I54" s="98"/>
    </row>
    <row r="55" customFormat="false" ht="24" hidden="false" customHeight="true" outlineLevel="0" collapsed="false">
      <c r="B55" s="100"/>
      <c r="C55" s="97"/>
      <c r="D55" s="98"/>
      <c r="E55" s="98"/>
      <c r="F55" s="98"/>
      <c r="G55" s="97"/>
      <c r="H55" s="97"/>
      <c r="I55" s="98"/>
    </row>
    <row r="56" customFormat="false" ht="24" hidden="false" customHeight="true" outlineLevel="0" collapsed="false">
      <c r="B56" s="100"/>
      <c r="C56" s="97"/>
      <c r="D56" s="98"/>
      <c r="E56" s="98"/>
      <c r="F56" s="98"/>
      <c r="G56" s="97"/>
      <c r="H56" s="97"/>
      <c r="I56" s="98"/>
    </row>
    <row r="57" customFormat="false" ht="24" hidden="false" customHeight="true" outlineLevel="0" collapsed="false">
      <c r="B57" s="100"/>
      <c r="C57" s="97"/>
      <c r="D57" s="98"/>
      <c r="E57" s="98"/>
      <c r="F57" s="98"/>
      <c r="G57" s="97"/>
      <c r="H57" s="97"/>
      <c r="I57" s="98"/>
    </row>
    <row r="58" customFormat="false" ht="24" hidden="false" customHeight="true" outlineLevel="0" collapsed="false">
      <c r="B58" s="100"/>
      <c r="C58" s="97"/>
      <c r="D58" s="98"/>
      <c r="E58" s="98"/>
      <c r="F58" s="98"/>
      <c r="G58" s="97"/>
      <c r="H58" s="97"/>
      <c r="I58" s="98"/>
    </row>
    <row r="59" customFormat="false" ht="24" hidden="false" customHeight="true" outlineLevel="0" collapsed="false">
      <c r="B59" s="100"/>
      <c r="C59" s="97"/>
      <c r="D59" s="98"/>
      <c r="E59" s="98"/>
      <c r="F59" s="98"/>
      <c r="G59" s="97"/>
      <c r="H59" s="97"/>
      <c r="I59" s="98"/>
    </row>
    <row r="60" customFormat="false" ht="24" hidden="false" customHeight="true" outlineLevel="0" collapsed="false">
      <c r="B60" s="100"/>
      <c r="C60" s="97"/>
      <c r="D60" s="98"/>
      <c r="E60" s="98"/>
      <c r="F60" s="98"/>
      <c r="G60" s="97"/>
      <c r="H60" s="97"/>
      <c r="I60" s="98"/>
    </row>
    <row r="61" customFormat="false" ht="24" hidden="false" customHeight="true" outlineLevel="0" collapsed="false">
      <c r="B61" s="100"/>
      <c r="C61" s="97"/>
      <c r="D61" s="98"/>
      <c r="E61" s="98"/>
      <c r="F61" s="98"/>
      <c r="G61" s="97"/>
      <c r="H61" s="97"/>
      <c r="I61" s="98"/>
    </row>
    <row r="62" customFormat="false" ht="24" hidden="false" customHeight="true" outlineLevel="0" collapsed="false">
      <c r="B62" s="100"/>
      <c r="C62" s="97"/>
      <c r="D62" s="98"/>
      <c r="E62" s="98"/>
      <c r="F62" s="98"/>
      <c r="G62" s="97"/>
      <c r="H62" s="97"/>
      <c r="I62" s="98"/>
    </row>
    <row r="63" customFormat="false" ht="24" hidden="false" customHeight="true" outlineLevel="0" collapsed="false">
      <c r="B63" s="100"/>
      <c r="C63" s="97"/>
      <c r="D63" s="98"/>
      <c r="E63" s="98"/>
      <c r="F63" s="98"/>
      <c r="G63" s="97"/>
      <c r="H63" s="97"/>
      <c r="I63" s="98"/>
    </row>
    <row r="64" customFormat="false" ht="24" hidden="false" customHeight="true" outlineLevel="0" collapsed="false">
      <c r="B64" s="100"/>
      <c r="C64" s="97"/>
      <c r="D64" s="98"/>
      <c r="E64" s="98"/>
      <c r="F64" s="98"/>
      <c r="G64" s="97"/>
      <c r="H64" s="97"/>
      <c r="I64" s="98"/>
    </row>
    <row r="65" customFormat="false" ht="24" hidden="false" customHeight="true" outlineLevel="0" collapsed="false">
      <c r="B65" s="100"/>
      <c r="C65" s="97"/>
      <c r="D65" s="98"/>
      <c r="E65" s="98"/>
      <c r="F65" s="98"/>
      <c r="G65" s="97"/>
      <c r="H65" s="97"/>
      <c r="I65" s="98"/>
    </row>
    <row r="66" customFormat="false" ht="24" hidden="false" customHeight="true" outlineLevel="0" collapsed="false">
      <c r="B66" s="100"/>
      <c r="C66" s="97"/>
      <c r="D66" s="98"/>
      <c r="E66" s="98"/>
      <c r="F66" s="98"/>
      <c r="G66" s="97"/>
      <c r="H66" s="97"/>
      <c r="I66" s="98"/>
    </row>
    <row r="67" customFormat="false" ht="24" hidden="false" customHeight="true" outlineLevel="0" collapsed="false">
      <c r="B67" s="100"/>
      <c r="C67" s="97"/>
      <c r="D67" s="98"/>
      <c r="E67" s="98"/>
      <c r="F67" s="98"/>
      <c r="G67" s="97"/>
      <c r="H67" s="97"/>
      <c r="I67" s="98"/>
    </row>
    <row r="68" customFormat="false" ht="24" hidden="false" customHeight="true" outlineLevel="0" collapsed="false">
      <c r="B68" s="100"/>
      <c r="C68" s="97"/>
      <c r="D68" s="98"/>
      <c r="E68" s="98"/>
      <c r="F68" s="98"/>
      <c r="G68" s="97"/>
      <c r="H68" s="97"/>
      <c r="I68" s="98"/>
    </row>
    <row r="69" customFormat="false" ht="24" hidden="false" customHeight="true" outlineLevel="0" collapsed="false">
      <c r="B69" s="100"/>
      <c r="C69" s="97"/>
      <c r="D69" s="98"/>
      <c r="E69" s="98"/>
      <c r="F69" s="98"/>
      <c r="G69" s="97"/>
      <c r="H69" s="97"/>
      <c r="I69" s="98"/>
    </row>
    <row r="70" customFormat="false" ht="24" hidden="false" customHeight="true" outlineLevel="0" collapsed="false">
      <c r="B70" s="100"/>
      <c r="C70" s="97"/>
      <c r="D70" s="98"/>
      <c r="E70" s="98"/>
      <c r="F70" s="98"/>
      <c r="G70" s="97"/>
      <c r="H70" s="97"/>
      <c r="I70" s="98"/>
    </row>
    <row r="71" customFormat="false" ht="24" hidden="false" customHeight="true" outlineLevel="0" collapsed="false">
      <c r="B71" s="100"/>
      <c r="C71" s="97"/>
      <c r="D71" s="98"/>
      <c r="E71" s="98"/>
      <c r="F71" s="98"/>
      <c r="G71" s="97"/>
      <c r="H71" s="97"/>
      <c r="I71" s="98"/>
    </row>
    <row r="72" customFormat="false" ht="24" hidden="false" customHeight="true" outlineLevel="0" collapsed="false">
      <c r="B72" s="100"/>
      <c r="C72" s="97"/>
      <c r="D72" s="98"/>
      <c r="E72" s="98"/>
      <c r="F72" s="98"/>
      <c r="G72" s="97"/>
      <c r="H72" s="97"/>
      <c r="I72" s="98"/>
    </row>
    <row r="73" customFormat="false" ht="24" hidden="false" customHeight="true" outlineLevel="0" collapsed="false">
      <c r="B73" s="100"/>
      <c r="C73" s="97"/>
      <c r="D73" s="98"/>
      <c r="E73" s="98"/>
      <c r="F73" s="98"/>
      <c r="G73" s="97"/>
      <c r="H73" s="97"/>
      <c r="I73" s="98"/>
    </row>
    <row r="74" customFormat="false" ht="24" hidden="false" customHeight="true" outlineLevel="0" collapsed="false">
      <c r="B74" s="100"/>
      <c r="C74" s="97"/>
      <c r="D74" s="98"/>
      <c r="E74" s="98"/>
      <c r="F74" s="98"/>
      <c r="G74" s="97"/>
      <c r="H74" s="97"/>
      <c r="I74" s="98"/>
    </row>
    <row r="75" customFormat="false" ht="24" hidden="false" customHeight="true" outlineLevel="0" collapsed="false">
      <c r="B75" s="100"/>
      <c r="C75" s="97"/>
      <c r="D75" s="98"/>
      <c r="E75" s="98"/>
      <c r="F75" s="98"/>
      <c r="G75" s="97"/>
      <c r="H75" s="97"/>
      <c r="I75" s="98"/>
    </row>
    <row r="76" customFormat="false" ht="24" hidden="false" customHeight="true" outlineLevel="0" collapsed="false">
      <c r="B76" s="100"/>
      <c r="C76" s="97"/>
      <c r="D76" s="98"/>
      <c r="E76" s="98"/>
      <c r="F76" s="98"/>
      <c r="G76" s="97"/>
      <c r="H76" s="97"/>
      <c r="I76" s="98"/>
    </row>
    <row r="77" customFormat="false" ht="24" hidden="false" customHeight="true" outlineLevel="0" collapsed="false">
      <c r="B77" s="100"/>
      <c r="C77" s="97"/>
      <c r="D77" s="98"/>
      <c r="E77" s="98"/>
      <c r="F77" s="98"/>
      <c r="G77" s="97"/>
      <c r="H77" s="97"/>
      <c r="I77" s="98"/>
    </row>
    <row r="78" customFormat="false" ht="24" hidden="false" customHeight="true" outlineLevel="0" collapsed="false">
      <c r="B78" s="100"/>
      <c r="C78" s="97"/>
      <c r="D78" s="98"/>
      <c r="E78" s="98"/>
      <c r="F78" s="98"/>
      <c r="G78" s="97"/>
      <c r="H78" s="97"/>
      <c r="I78" s="98"/>
    </row>
    <row r="79" customFormat="false" ht="24" hidden="false" customHeight="true" outlineLevel="0" collapsed="false">
      <c r="B79" s="100"/>
      <c r="C79" s="97"/>
      <c r="D79" s="98"/>
      <c r="E79" s="98"/>
      <c r="F79" s="98"/>
      <c r="G79" s="97"/>
      <c r="H79" s="97"/>
      <c r="I79" s="98"/>
    </row>
    <row r="80" customFormat="false" ht="24" hidden="false" customHeight="true" outlineLevel="0" collapsed="false">
      <c r="B80" s="100"/>
      <c r="C80" s="97"/>
      <c r="D80" s="98"/>
      <c r="E80" s="98"/>
      <c r="F80" s="98"/>
      <c r="G80" s="97"/>
      <c r="H80" s="97"/>
      <c r="I80" s="98"/>
    </row>
    <row r="81" customFormat="false" ht="24" hidden="false" customHeight="true" outlineLevel="0" collapsed="false">
      <c r="B81" s="100"/>
      <c r="C81" s="97"/>
      <c r="D81" s="98"/>
      <c r="E81" s="98"/>
      <c r="F81" s="98"/>
      <c r="G81" s="97"/>
      <c r="H81" s="97"/>
      <c r="I81" s="98"/>
    </row>
    <row r="82" customFormat="false" ht="24" hidden="false" customHeight="true" outlineLevel="0" collapsed="false">
      <c r="B82" s="100"/>
      <c r="C82" s="97"/>
      <c r="D82" s="98"/>
      <c r="E82" s="98"/>
      <c r="F82" s="98"/>
      <c r="G82" s="97"/>
      <c r="H82" s="97"/>
      <c r="I82" s="98"/>
    </row>
    <row r="83" customFormat="false" ht="24" hidden="false" customHeight="true" outlineLevel="0" collapsed="false">
      <c r="B83" s="100"/>
      <c r="C83" s="97"/>
      <c r="D83" s="98"/>
      <c r="E83" s="98"/>
      <c r="F83" s="98"/>
      <c r="G83" s="97"/>
      <c r="H83" s="97"/>
      <c r="I83" s="98"/>
    </row>
    <row r="84" customFormat="false" ht="24" hidden="false" customHeight="true" outlineLevel="0" collapsed="false">
      <c r="B84" s="100"/>
      <c r="C84" s="97"/>
      <c r="D84" s="98"/>
      <c r="E84" s="98"/>
      <c r="F84" s="98"/>
      <c r="G84" s="97"/>
      <c r="H84" s="97"/>
      <c r="I84" s="98"/>
    </row>
    <row r="85" customFormat="false" ht="24" hidden="false" customHeight="true" outlineLevel="0" collapsed="false">
      <c r="B85" s="100"/>
      <c r="C85" s="97"/>
      <c r="D85" s="98"/>
      <c r="E85" s="98"/>
      <c r="F85" s="98"/>
      <c r="G85" s="97"/>
      <c r="H85" s="97"/>
      <c r="I85" s="98"/>
    </row>
    <row r="86" customFormat="false" ht="24" hidden="false" customHeight="true" outlineLevel="0" collapsed="false">
      <c r="B86" s="100"/>
      <c r="C86" s="97"/>
      <c r="D86" s="98"/>
      <c r="E86" s="98"/>
      <c r="F86" s="98"/>
      <c r="G86" s="97"/>
      <c r="H86" s="97"/>
      <c r="I86" s="98"/>
    </row>
    <row r="87" customFormat="false" ht="24" hidden="false" customHeight="true" outlineLevel="0" collapsed="false">
      <c r="B87" s="100"/>
      <c r="C87" s="97"/>
      <c r="D87" s="98"/>
      <c r="E87" s="98"/>
      <c r="F87" s="98"/>
      <c r="G87" s="97"/>
      <c r="H87" s="97"/>
      <c r="I87" s="98"/>
    </row>
    <row r="88" customFormat="false" ht="24" hidden="false" customHeight="true" outlineLevel="0" collapsed="false">
      <c r="B88" s="100"/>
      <c r="C88" s="97"/>
      <c r="D88" s="98"/>
      <c r="E88" s="98"/>
      <c r="F88" s="98"/>
      <c r="G88" s="97"/>
      <c r="H88" s="97"/>
      <c r="I88" s="98"/>
    </row>
    <row r="89" customFormat="false" ht="24" hidden="false" customHeight="true" outlineLevel="0" collapsed="false">
      <c r="B89" s="100"/>
      <c r="C89" s="97"/>
      <c r="D89" s="98"/>
      <c r="E89" s="98"/>
      <c r="F89" s="98"/>
      <c r="G89" s="97"/>
      <c r="H89" s="97"/>
      <c r="I89" s="98"/>
    </row>
    <row r="90" customFormat="false" ht="24" hidden="false" customHeight="true" outlineLevel="0" collapsed="false">
      <c r="B90" s="100"/>
      <c r="C90" s="97"/>
      <c r="D90" s="98"/>
      <c r="E90" s="98"/>
      <c r="F90" s="98"/>
      <c r="G90" s="97"/>
      <c r="H90" s="97"/>
      <c r="I90" s="98"/>
    </row>
    <row r="91" customFormat="false" ht="24" hidden="false" customHeight="true" outlineLevel="0" collapsed="false">
      <c r="B91" s="100"/>
      <c r="C91" s="97"/>
      <c r="D91" s="98"/>
      <c r="E91" s="98"/>
      <c r="F91" s="98"/>
      <c r="G91" s="97"/>
      <c r="H91" s="97"/>
      <c r="I91" s="98"/>
    </row>
    <row r="92" customFormat="false" ht="24" hidden="false" customHeight="true" outlineLevel="0" collapsed="false">
      <c r="B92" s="100"/>
      <c r="C92" s="97"/>
      <c r="D92" s="98"/>
      <c r="E92" s="98"/>
      <c r="F92" s="98"/>
      <c r="G92" s="97"/>
      <c r="H92" s="97"/>
      <c r="I92" s="98"/>
    </row>
    <row r="93" customFormat="false" ht="24" hidden="false" customHeight="true" outlineLevel="0" collapsed="false">
      <c r="B93" s="100"/>
      <c r="C93" s="97"/>
      <c r="D93" s="98"/>
      <c r="E93" s="98"/>
      <c r="F93" s="98"/>
      <c r="G93" s="97"/>
      <c r="H93" s="97"/>
      <c r="I93" s="98"/>
    </row>
    <row r="94" customFormat="false" ht="24" hidden="false" customHeight="true" outlineLevel="0" collapsed="false">
      <c r="B94" s="100"/>
      <c r="C94" s="97"/>
      <c r="D94" s="98"/>
      <c r="E94" s="98"/>
      <c r="F94" s="98"/>
      <c r="G94" s="97"/>
      <c r="H94" s="97"/>
      <c r="I94" s="98"/>
    </row>
    <row r="95" customFormat="false" ht="24" hidden="false" customHeight="true" outlineLevel="0" collapsed="false">
      <c r="B95" s="100"/>
      <c r="C95" s="97"/>
      <c r="D95" s="98"/>
      <c r="E95" s="98"/>
      <c r="F95" s="98"/>
      <c r="G95" s="97"/>
      <c r="H95" s="97"/>
      <c r="I95" s="98"/>
    </row>
    <row r="96" customFormat="false" ht="24" hidden="false" customHeight="true" outlineLevel="0" collapsed="false">
      <c r="B96" s="100"/>
      <c r="C96" s="97"/>
      <c r="D96" s="98"/>
      <c r="E96" s="98"/>
      <c r="F96" s="98"/>
      <c r="G96" s="97"/>
      <c r="H96" s="97"/>
      <c r="I96" s="98"/>
    </row>
    <row r="97" customFormat="false" ht="24" hidden="false" customHeight="true" outlineLevel="0" collapsed="false">
      <c r="B97" s="100"/>
      <c r="C97" s="97"/>
      <c r="D97" s="98"/>
      <c r="E97" s="98"/>
      <c r="F97" s="98"/>
      <c r="G97" s="97"/>
      <c r="H97" s="97"/>
      <c r="I97" s="98"/>
    </row>
    <row r="98" customFormat="false" ht="24" hidden="false" customHeight="true" outlineLevel="0" collapsed="false">
      <c r="B98" s="100"/>
      <c r="C98" s="97"/>
      <c r="D98" s="98"/>
      <c r="E98" s="98"/>
      <c r="F98" s="98"/>
      <c r="G98" s="97"/>
      <c r="H98" s="97"/>
      <c r="I98" s="98"/>
    </row>
    <row r="99" customFormat="false" ht="24" hidden="false" customHeight="true" outlineLevel="0" collapsed="false">
      <c r="B99" s="100"/>
      <c r="C99" s="97"/>
      <c r="D99" s="98"/>
      <c r="E99" s="98"/>
      <c r="F99" s="98"/>
      <c r="G99" s="97"/>
      <c r="H99" s="97"/>
      <c r="I99" s="98"/>
    </row>
    <row r="100" customFormat="false" ht="24" hidden="false" customHeight="true" outlineLevel="0" collapsed="false">
      <c r="B100" s="100"/>
      <c r="C100" s="97"/>
      <c r="D100" s="98"/>
      <c r="E100" s="98"/>
      <c r="F100" s="98"/>
      <c r="G100" s="97"/>
      <c r="H100" s="97"/>
      <c r="I100" s="98"/>
    </row>
    <row r="101" customFormat="false" ht="24" hidden="false" customHeight="true" outlineLevel="0" collapsed="false">
      <c r="B101" s="100"/>
      <c r="C101" s="97"/>
      <c r="D101" s="98"/>
      <c r="E101" s="98"/>
      <c r="F101" s="98"/>
      <c r="G101" s="97"/>
      <c r="H101" s="97"/>
      <c r="I101" s="98"/>
    </row>
    <row r="102" customFormat="false" ht="24" hidden="false" customHeight="true" outlineLevel="0" collapsed="false">
      <c r="B102" s="100"/>
      <c r="C102" s="97"/>
      <c r="D102" s="98"/>
      <c r="E102" s="98"/>
      <c r="F102" s="98"/>
      <c r="G102" s="97"/>
      <c r="H102" s="97"/>
      <c r="I102" s="98"/>
    </row>
    <row r="103" customFormat="false" ht="24" hidden="false" customHeight="true" outlineLevel="0" collapsed="false">
      <c r="B103" s="100"/>
      <c r="C103" s="97"/>
      <c r="D103" s="98"/>
      <c r="E103" s="98"/>
      <c r="F103" s="98"/>
      <c r="G103" s="97"/>
      <c r="H103" s="97"/>
      <c r="I103" s="98"/>
    </row>
    <row r="104" customFormat="false" ht="24" hidden="false" customHeight="true" outlineLevel="0" collapsed="false">
      <c r="B104" s="100"/>
      <c r="C104" s="97"/>
      <c r="D104" s="98"/>
      <c r="E104" s="98"/>
      <c r="F104" s="98"/>
      <c r="G104" s="97"/>
      <c r="H104" s="97"/>
      <c r="I104" s="98"/>
    </row>
    <row r="105" customFormat="false" ht="24" hidden="false" customHeight="true" outlineLevel="0" collapsed="false">
      <c r="B105" s="100"/>
      <c r="C105" s="97"/>
      <c r="D105" s="98"/>
      <c r="E105" s="98"/>
      <c r="F105" s="98"/>
      <c r="G105" s="97"/>
      <c r="H105" s="97"/>
      <c r="I105" s="98"/>
    </row>
    <row r="106" customFormat="false" ht="24" hidden="false" customHeight="true" outlineLevel="0" collapsed="false">
      <c r="B106" s="100"/>
      <c r="C106" s="97"/>
      <c r="D106" s="98"/>
      <c r="E106" s="98"/>
      <c r="F106" s="98"/>
      <c r="G106" s="97"/>
      <c r="H106" s="97"/>
      <c r="I106" s="98"/>
    </row>
    <row r="107" customFormat="false" ht="24" hidden="false" customHeight="true" outlineLevel="0" collapsed="false">
      <c r="B107" s="100"/>
      <c r="C107" s="97"/>
      <c r="D107" s="98"/>
      <c r="E107" s="98"/>
      <c r="F107" s="98"/>
      <c r="G107" s="97"/>
      <c r="H107" s="97"/>
      <c r="I107" s="98"/>
    </row>
    <row r="108" customFormat="false" ht="24" hidden="false" customHeight="true" outlineLevel="0" collapsed="false">
      <c r="B108" s="100"/>
      <c r="C108" s="97"/>
      <c r="D108" s="98"/>
      <c r="E108" s="98"/>
      <c r="F108" s="98"/>
      <c r="G108" s="97"/>
      <c r="H108" s="97"/>
      <c r="I108" s="98"/>
    </row>
    <row r="109" customFormat="false" ht="24" hidden="false" customHeight="true" outlineLevel="0" collapsed="false">
      <c r="B109" s="100"/>
      <c r="C109" s="97"/>
      <c r="D109" s="98"/>
      <c r="E109" s="98"/>
      <c r="F109" s="98"/>
      <c r="G109" s="97"/>
      <c r="H109" s="97"/>
      <c r="I109" s="98"/>
    </row>
    <row r="110" customFormat="false" ht="24" hidden="false" customHeight="true" outlineLevel="0" collapsed="false">
      <c r="B110" s="100"/>
      <c r="C110" s="97"/>
      <c r="D110" s="98"/>
      <c r="E110" s="98"/>
      <c r="F110" s="98"/>
      <c r="G110" s="97"/>
      <c r="H110" s="97"/>
      <c r="I110" s="98"/>
    </row>
    <row r="111" customFormat="false" ht="24" hidden="false" customHeight="true" outlineLevel="0" collapsed="false">
      <c r="B111" s="100"/>
      <c r="C111" s="97"/>
      <c r="D111" s="98"/>
      <c r="E111" s="98"/>
      <c r="F111" s="98"/>
      <c r="G111" s="97"/>
      <c r="H111" s="97"/>
      <c r="I111" s="98"/>
    </row>
    <row r="112" customFormat="false" ht="24" hidden="false" customHeight="true" outlineLevel="0" collapsed="false">
      <c r="B112" s="100"/>
      <c r="C112" s="97"/>
      <c r="D112" s="98"/>
      <c r="E112" s="98"/>
      <c r="F112" s="98"/>
      <c r="G112" s="97"/>
      <c r="H112" s="97"/>
      <c r="I112" s="98"/>
    </row>
    <row r="113" customFormat="false" ht="24" hidden="false" customHeight="true" outlineLevel="0" collapsed="false">
      <c r="B113" s="100"/>
      <c r="C113" s="97"/>
      <c r="D113" s="98"/>
      <c r="E113" s="98"/>
      <c r="F113" s="98"/>
      <c r="G113" s="97"/>
      <c r="H113" s="97"/>
      <c r="I113" s="98"/>
    </row>
    <row r="114" customFormat="false" ht="24" hidden="false" customHeight="true" outlineLevel="0" collapsed="false">
      <c r="B114" s="100"/>
      <c r="C114" s="97"/>
      <c r="D114" s="98"/>
      <c r="E114" s="98"/>
      <c r="F114" s="98"/>
      <c r="G114" s="97"/>
      <c r="H114" s="97"/>
      <c r="I114" s="98"/>
    </row>
    <row r="115" customFormat="false" ht="24" hidden="false" customHeight="true" outlineLevel="0" collapsed="false">
      <c r="B115" s="100"/>
      <c r="C115" s="97"/>
      <c r="D115" s="98"/>
      <c r="E115" s="98"/>
      <c r="F115" s="98"/>
      <c r="G115" s="97"/>
      <c r="H115" s="97"/>
      <c r="I115" s="98"/>
    </row>
    <row r="116" customFormat="false" ht="24" hidden="false" customHeight="true" outlineLevel="0" collapsed="false">
      <c r="B116" s="100"/>
      <c r="C116" s="97"/>
      <c r="D116" s="98"/>
      <c r="E116" s="98"/>
      <c r="F116" s="98"/>
      <c r="G116" s="97"/>
      <c r="H116" s="97"/>
      <c r="I116" s="98"/>
    </row>
    <row r="117" customFormat="false" ht="24" hidden="false" customHeight="true" outlineLevel="0" collapsed="false">
      <c r="B117" s="100"/>
      <c r="C117" s="97"/>
      <c r="D117" s="98"/>
      <c r="E117" s="98"/>
      <c r="F117" s="98"/>
      <c r="G117" s="97"/>
      <c r="H117" s="97"/>
      <c r="I117" s="98"/>
    </row>
    <row r="118" customFormat="false" ht="24" hidden="false" customHeight="true" outlineLevel="0" collapsed="false">
      <c r="B118" s="100"/>
      <c r="C118" s="97"/>
      <c r="D118" s="98"/>
      <c r="E118" s="98"/>
      <c r="F118" s="98"/>
      <c r="G118" s="97"/>
      <c r="H118" s="97"/>
      <c r="I118" s="98"/>
    </row>
    <row r="119" customFormat="false" ht="24" hidden="false" customHeight="true" outlineLevel="0" collapsed="false">
      <c r="B119" s="100"/>
      <c r="C119" s="97"/>
      <c r="D119" s="98"/>
      <c r="E119" s="98"/>
      <c r="F119" s="98"/>
      <c r="G119" s="97"/>
      <c r="H119" s="97"/>
      <c r="I119" s="98"/>
    </row>
    <row r="120" customFormat="false" ht="24" hidden="false" customHeight="true" outlineLevel="0" collapsed="false">
      <c r="B120" s="100"/>
      <c r="C120" s="97"/>
      <c r="D120" s="98"/>
      <c r="E120" s="98"/>
      <c r="F120" s="98"/>
      <c r="G120" s="97"/>
      <c r="H120" s="97"/>
      <c r="I120" s="98"/>
    </row>
    <row r="121" customFormat="false" ht="24" hidden="false" customHeight="true" outlineLevel="0" collapsed="false">
      <c r="B121" s="100"/>
      <c r="C121" s="97"/>
      <c r="D121" s="98"/>
      <c r="E121" s="98"/>
      <c r="F121" s="98"/>
      <c r="G121" s="97"/>
      <c r="H121" s="97"/>
      <c r="I121" s="98"/>
    </row>
    <row r="122" customFormat="false" ht="24" hidden="false" customHeight="true" outlineLevel="0" collapsed="false">
      <c r="B122" s="100"/>
      <c r="C122" s="97"/>
      <c r="D122" s="98"/>
      <c r="E122" s="98"/>
      <c r="F122" s="98"/>
      <c r="G122" s="97"/>
      <c r="H122" s="97"/>
      <c r="I122" s="98"/>
    </row>
    <row r="123" customFormat="false" ht="24" hidden="false" customHeight="true" outlineLevel="0" collapsed="false">
      <c r="B123" s="100"/>
      <c r="C123" s="97"/>
      <c r="D123" s="98"/>
      <c r="E123" s="98"/>
      <c r="F123" s="98"/>
      <c r="G123" s="97"/>
      <c r="H123" s="97"/>
      <c r="I123" s="98"/>
    </row>
    <row r="124" customFormat="false" ht="24" hidden="false" customHeight="true" outlineLevel="0" collapsed="false">
      <c r="B124" s="100"/>
      <c r="C124" s="97"/>
      <c r="D124" s="98"/>
      <c r="E124" s="98"/>
      <c r="F124" s="98"/>
      <c r="G124" s="97"/>
      <c r="H124" s="97"/>
      <c r="I124" s="98"/>
    </row>
    <row r="125" customFormat="false" ht="24" hidden="false" customHeight="true" outlineLevel="0" collapsed="false">
      <c r="B125" s="100"/>
      <c r="C125" s="97"/>
      <c r="D125" s="98"/>
      <c r="E125" s="98"/>
      <c r="F125" s="98"/>
      <c r="G125" s="97"/>
      <c r="H125" s="97"/>
      <c r="I125" s="98"/>
    </row>
    <row r="126" customFormat="false" ht="24" hidden="false" customHeight="true" outlineLevel="0" collapsed="false">
      <c r="B126" s="100"/>
      <c r="C126" s="97"/>
      <c r="D126" s="98"/>
      <c r="E126" s="98"/>
      <c r="F126" s="98"/>
      <c r="G126" s="97"/>
      <c r="H126" s="97"/>
      <c r="I126" s="98"/>
    </row>
    <row r="127" customFormat="false" ht="24" hidden="false" customHeight="true" outlineLevel="0" collapsed="false">
      <c r="B127" s="100"/>
      <c r="C127" s="97"/>
      <c r="D127" s="98"/>
      <c r="E127" s="98"/>
      <c r="F127" s="98"/>
      <c r="G127" s="97"/>
      <c r="H127" s="97"/>
      <c r="I127" s="98"/>
    </row>
    <row r="128" customFormat="false" ht="24" hidden="false" customHeight="true" outlineLevel="0" collapsed="false">
      <c r="B128" s="100"/>
      <c r="C128" s="97"/>
      <c r="D128" s="98"/>
      <c r="E128" s="98"/>
      <c r="F128" s="98"/>
      <c r="G128" s="97"/>
      <c r="H128" s="97"/>
      <c r="I128" s="98"/>
    </row>
    <row r="129" customFormat="false" ht="24" hidden="false" customHeight="true" outlineLevel="0" collapsed="false">
      <c r="B129" s="100"/>
      <c r="C129" s="97"/>
      <c r="D129" s="98"/>
      <c r="E129" s="98"/>
      <c r="F129" s="98"/>
      <c r="G129" s="97"/>
      <c r="H129" s="97"/>
      <c r="I129" s="98"/>
    </row>
    <row r="130" customFormat="false" ht="24" hidden="false" customHeight="true" outlineLevel="0" collapsed="false">
      <c r="B130" s="100"/>
      <c r="C130" s="97"/>
      <c r="D130" s="98"/>
      <c r="E130" s="98"/>
      <c r="F130" s="98"/>
      <c r="G130" s="97"/>
      <c r="H130" s="97"/>
      <c r="I130" s="98"/>
    </row>
    <row r="131" customFormat="false" ht="24" hidden="false" customHeight="true" outlineLevel="0" collapsed="false">
      <c r="B131" s="100"/>
      <c r="C131" s="97"/>
      <c r="D131" s="98"/>
      <c r="E131" s="98"/>
      <c r="F131" s="98"/>
      <c r="G131" s="97"/>
      <c r="H131" s="97"/>
      <c r="I131" s="98"/>
    </row>
    <row r="132" customFormat="false" ht="24" hidden="false" customHeight="true" outlineLevel="0" collapsed="false">
      <c r="B132" s="100"/>
      <c r="C132" s="97"/>
      <c r="D132" s="98"/>
      <c r="E132" s="98"/>
      <c r="F132" s="98"/>
      <c r="G132" s="97"/>
      <c r="H132" s="97"/>
      <c r="I132" s="98"/>
    </row>
    <row r="133" customFormat="false" ht="24" hidden="false" customHeight="true" outlineLevel="0" collapsed="false">
      <c r="B133" s="100"/>
      <c r="C133" s="97"/>
      <c r="D133" s="98"/>
      <c r="E133" s="98"/>
      <c r="F133" s="98"/>
      <c r="G133" s="97"/>
      <c r="H133" s="97"/>
      <c r="I133" s="98"/>
    </row>
    <row r="134" customFormat="false" ht="24" hidden="false" customHeight="true" outlineLevel="0" collapsed="false">
      <c r="B134" s="100"/>
      <c r="C134" s="97"/>
      <c r="D134" s="98"/>
      <c r="E134" s="98"/>
      <c r="F134" s="98"/>
      <c r="G134" s="97"/>
      <c r="H134" s="97"/>
      <c r="I134" s="98"/>
    </row>
    <row r="135" customFormat="false" ht="24" hidden="false" customHeight="true" outlineLevel="0" collapsed="false">
      <c r="B135" s="100"/>
      <c r="C135" s="97"/>
      <c r="D135" s="98"/>
      <c r="E135" s="98"/>
      <c r="F135" s="98"/>
      <c r="G135" s="97"/>
      <c r="H135" s="97"/>
      <c r="I135" s="98"/>
    </row>
    <row r="136" customFormat="false" ht="24" hidden="false" customHeight="true" outlineLevel="0" collapsed="false">
      <c r="B136" s="100"/>
      <c r="C136" s="97"/>
      <c r="D136" s="98"/>
      <c r="E136" s="98"/>
      <c r="F136" s="98"/>
      <c r="G136" s="97"/>
      <c r="H136" s="97"/>
      <c r="I136" s="98"/>
    </row>
    <row r="137" customFormat="false" ht="24" hidden="false" customHeight="true" outlineLevel="0" collapsed="false">
      <c r="B137" s="100"/>
      <c r="C137" s="97"/>
      <c r="D137" s="98"/>
      <c r="E137" s="98"/>
      <c r="F137" s="98"/>
      <c r="G137" s="97"/>
      <c r="H137" s="97"/>
      <c r="I137" s="98"/>
    </row>
    <row r="138" customFormat="false" ht="24" hidden="false" customHeight="true" outlineLevel="0" collapsed="false">
      <c r="B138" s="100"/>
      <c r="C138" s="97"/>
      <c r="D138" s="98"/>
      <c r="E138" s="98"/>
      <c r="F138" s="98"/>
      <c r="G138" s="97"/>
      <c r="H138" s="97"/>
      <c r="I138" s="98"/>
    </row>
    <row r="139" customFormat="false" ht="24" hidden="false" customHeight="true" outlineLevel="0" collapsed="false">
      <c r="B139" s="100"/>
      <c r="C139" s="97"/>
      <c r="D139" s="98"/>
      <c r="E139" s="98"/>
      <c r="F139" s="98"/>
      <c r="G139" s="97"/>
      <c r="H139" s="97"/>
      <c r="I139" s="98"/>
    </row>
    <row r="140" customFormat="false" ht="24" hidden="false" customHeight="true" outlineLevel="0" collapsed="false">
      <c r="B140" s="100"/>
      <c r="C140" s="97"/>
      <c r="D140" s="98"/>
      <c r="E140" s="98"/>
      <c r="F140" s="98"/>
      <c r="G140" s="97"/>
      <c r="H140" s="97"/>
      <c r="I140" s="98"/>
    </row>
    <row r="141" customFormat="false" ht="24" hidden="false" customHeight="true" outlineLevel="0" collapsed="false">
      <c r="B141" s="100"/>
      <c r="C141" s="97"/>
      <c r="D141" s="98"/>
      <c r="E141" s="98"/>
      <c r="F141" s="98"/>
      <c r="G141" s="97"/>
      <c r="H141" s="97"/>
      <c r="I141" s="98"/>
    </row>
    <row r="142" customFormat="false" ht="24" hidden="false" customHeight="true" outlineLevel="0" collapsed="false">
      <c r="B142" s="100"/>
      <c r="C142" s="97"/>
      <c r="D142" s="98"/>
      <c r="E142" s="98"/>
      <c r="F142" s="98"/>
      <c r="G142" s="97"/>
      <c r="H142" s="97"/>
      <c r="I142" s="98"/>
    </row>
    <row r="143" customFormat="false" ht="24" hidden="false" customHeight="true" outlineLevel="0" collapsed="false">
      <c r="B143" s="100"/>
      <c r="C143" s="97"/>
      <c r="D143" s="98"/>
      <c r="E143" s="98"/>
      <c r="F143" s="98"/>
      <c r="G143" s="97"/>
      <c r="H143" s="97"/>
      <c r="I143" s="98"/>
    </row>
    <row r="144" customFormat="false" ht="24" hidden="false" customHeight="true" outlineLevel="0" collapsed="false">
      <c r="B144" s="100"/>
      <c r="C144" s="97"/>
      <c r="D144" s="98"/>
      <c r="E144" s="98"/>
      <c r="F144" s="98"/>
      <c r="G144" s="97"/>
      <c r="H144" s="97"/>
      <c r="I144" s="98"/>
    </row>
    <row r="145" customFormat="false" ht="24" hidden="false" customHeight="true" outlineLevel="0" collapsed="false">
      <c r="B145" s="100"/>
      <c r="C145" s="97"/>
      <c r="D145" s="98"/>
      <c r="E145" s="98"/>
      <c r="F145" s="98"/>
      <c r="G145" s="97"/>
      <c r="H145" s="97"/>
      <c r="I145" s="98"/>
    </row>
    <row r="146" customFormat="false" ht="24" hidden="false" customHeight="true" outlineLevel="0" collapsed="false">
      <c r="B146" s="100"/>
      <c r="C146" s="97"/>
      <c r="D146" s="98"/>
      <c r="E146" s="98"/>
      <c r="F146" s="98"/>
      <c r="G146" s="97"/>
      <c r="H146" s="97"/>
      <c r="I146" s="98"/>
    </row>
    <row r="147" customFormat="false" ht="24" hidden="false" customHeight="true" outlineLevel="0" collapsed="false">
      <c r="B147" s="100"/>
      <c r="C147" s="97"/>
      <c r="D147" s="98"/>
      <c r="E147" s="98"/>
      <c r="F147" s="98"/>
      <c r="G147" s="97"/>
      <c r="H147" s="97"/>
      <c r="I147" s="98"/>
    </row>
    <row r="148" customFormat="false" ht="24" hidden="false" customHeight="true" outlineLevel="0" collapsed="false">
      <c r="B148" s="100"/>
      <c r="C148" s="97"/>
      <c r="D148" s="98"/>
      <c r="E148" s="98"/>
      <c r="F148" s="98"/>
      <c r="G148" s="97"/>
      <c r="H148" s="97"/>
      <c r="I148" s="98"/>
    </row>
    <row r="149" customFormat="false" ht="24" hidden="false" customHeight="true" outlineLevel="0" collapsed="false">
      <c r="B149" s="100"/>
      <c r="C149" s="97"/>
      <c r="D149" s="98"/>
      <c r="E149" s="98"/>
      <c r="F149" s="98"/>
      <c r="G149" s="97"/>
      <c r="H149" s="97"/>
      <c r="I149" s="98"/>
    </row>
    <row r="150" customFormat="false" ht="24" hidden="false" customHeight="true" outlineLevel="0" collapsed="false">
      <c r="B150" s="100"/>
      <c r="C150" s="97"/>
      <c r="D150" s="98"/>
      <c r="E150" s="98"/>
      <c r="F150" s="98"/>
      <c r="G150" s="97"/>
      <c r="H150" s="97"/>
      <c r="I150" s="98"/>
    </row>
    <row r="151" customFormat="false" ht="24" hidden="false" customHeight="true" outlineLevel="0" collapsed="false">
      <c r="B151" s="100"/>
      <c r="C151" s="97"/>
      <c r="D151" s="98"/>
      <c r="E151" s="98"/>
      <c r="F151" s="98"/>
      <c r="G151" s="97"/>
      <c r="H151" s="97"/>
      <c r="I151" s="98"/>
    </row>
    <row r="152" customFormat="false" ht="24" hidden="false" customHeight="true" outlineLevel="0" collapsed="false">
      <c r="B152" s="100"/>
      <c r="C152" s="97"/>
      <c r="D152" s="98"/>
      <c r="E152" s="98"/>
      <c r="F152" s="98"/>
      <c r="G152" s="97"/>
      <c r="H152" s="97"/>
      <c r="I152" s="98"/>
    </row>
    <row r="153" customFormat="false" ht="24" hidden="false" customHeight="true" outlineLevel="0" collapsed="false">
      <c r="B153" s="100"/>
      <c r="C153" s="97"/>
      <c r="D153" s="98"/>
      <c r="E153" s="98"/>
      <c r="F153" s="98"/>
      <c r="G153" s="97"/>
      <c r="H153" s="97"/>
      <c r="I153" s="98"/>
    </row>
    <row r="154" customFormat="false" ht="24" hidden="false" customHeight="true" outlineLevel="0" collapsed="false">
      <c r="B154" s="100"/>
      <c r="C154" s="97"/>
      <c r="D154" s="98"/>
      <c r="E154" s="98"/>
      <c r="F154" s="98"/>
      <c r="G154" s="97"/>
      <c r="H154" s="97"/>
      <c r="I154" s="98"/>
    </row>
    <row r="155" customFormat="false" ht="24" hidden="false" customHeight="true" outlineLevel="0" collapsed="false">
      <c r="B155" s="100"/>
      <c r="C155" s="97"/>
      <c r="D155" s="98"/>
      <c r="E155" s="98"/>
      <c r="F155" s="98"/>
      <c r="G155" s="97"/>
      <c r="H155" s="97"/>
      <c r="I155" s="98"/>
    </row>
    <row r="156" customFormat="false" ht="24" hidden="false" customHeight="true" outlineLevel="0" collapsed="false">
      <c r="B156" s="100"/>
      <c r="C156" s="97"/>
      <c r="D156" s="98"/>
      <c r="E156" s="98"/>
      <c r="F156" s="98"/>
      <c r="G156" s="97"/>
      <c r="H156" s="97"/>
      <c r="I156" s="98"/>
    </row>
    <row r="157" customFormat="false" ht="24" hidden="false" customHeight="true" outlineLevel="0" collapsed="false">
      <c r="B157" s="100"/>
      <c r="C157" s="97"/>
      <c r="D157" s="98"/>
      <c r="E157" s="98"/>
      <c r="F157" s="98"/>
      <c r="G157" s="97"/>
      <c r="H157" s="97"/>
      <c r="I157" s="98"/>
    </row>
    <row r="158" customFormat="false" ht="24" hidden="false" customHeight="true" outlineLevel="0" collapsed="false">
      <c r="B158" s="100"/>
      <c r="C158" s="97"/>
      <c r="D158" s="98"/>
      <c r="E158" s="98"/>
      <c r="F158" s="98"/>
      <c r="G158" s="97"/>
      <c r="H158" s="97"/>
      <c r="I158" s="98"/>
    </row>
    <row r="159" customFormat="false" ht="24" hidden="false" customHeight="true" outlineLevel="0" collapsed="false">
      <c r="B159" s="100"/>
      <c r="C159" s="97"/>
      <c r="D159" s="98"/>
      <c r="E159" s="98"/>
      <c r="F159" s="98"/>
      <c r="G159" s="97"/>
      <c r="H159" s="97"/>
      <c r="I159" s="98"/>
    </row>
    <row r="160" customFormat="false" ht="24" hidden="false" customHeight="true" outlineLevel="0" collapsed="false">
      <c r="B160" s="100"/>
      <c r="C160" s="97"/>
      <c r="D160" s="98"/>
      <c r="E160" s="98"/>
      <c r="F160" s="98"/>
      <c r="G160" s="97"/>
      <c r="H160" s="97"/>
      <c r="I160" s="98"/>
    </row>
    <row r="161" customFormat="false" ht="24" hidden="false" customHeight="true" outlineLevel="0" collapsed="false">
      <c r="B161" s="100"/>
      <c r="C161" s="97"/>
      <c r="D161" s="98"/>
      <c r="E161" s="98"/>
      <c r="F161" s="98"/>
      <c r="G161" s="97"/>
      <c r="H161" s="97"/>
      <c r="I161" s="98"/>
    </row>
    <row r="162" customFormat="false" ht="24" hidden="false" customHeight="true" outlineLevel="0" collapsed="false">
      <c r="B162" s="100"/>
      <c r="C162" s="97"/>
      <c r="D162" s="98"/>
      <c r="E162" s="98"/>
      <c r="F162" s="98"/>
      <c r="G162" s="97"/>
      <c r="H162" s="97"/>
      <c r="I162" s="98"/>
    </row>
    <row r="163" customFormat="false" ht="24" hidden="false" customHeight="true" outlineLevel="0" collapsed="false">
      <c r="B163" s="100"/>
      <c r="C163" s="97"/>
      <c r="D163" s="98"/>
      <c r="E163" s="98"/>
      <c r="F163" s="98"/>
      <c r="G163" s="97"/>
      <c r="H163" s="97"/>
      <c r="I163" s="98"/>
    </row>
    <row r="164" customFormat="false" ht="24" hidden="false" customHeight="true" outlineLevel="0" collapsed="false">
      <c r="B164" s="100"/>
      <c r="C164" s="97"/>
      <c r="D164" s="98"/>
      <c r="E164" s="98"/>
      <c r="F164" s="98"/>
      <c r="G164" s="97"/>
      <c r="H164" s="97"/>
      <c r="I164" s="98"/>
    </row>
    <row r="165" customFormat="false" ht="24" hidden="false" customHeight="true" outlineLevel="0" collapsed="false">
      <c r="B165" s="100"/>
      <c r="C165" s="97"/>
      <c r="D165" s="98"/>
      <c r="E165" s="98"/>
      <c r="F165" s="98"/>
      <c r="G165" s="97"/>
      <c r="H165" s="97"/>
      <c r="I165" s="98"/>
    </row>
    <row r="166" customFormat="false" ht="24" hidden="false" customHeight="true" outlineLevel="0" collapsed="false">
      <c r="B166" s="100"/>
      <c r="C166" s="97"/>
      <c r="D166" s="98"/>
      <c r="E166" s="98"/>
      <c r="F166" s="98"/>
      <c r="G166" s="97"/>
      <c r="H166" s="97"/>
      <c r="I166" s="98"/>
    </row>
    <row r="167" customFormat="false" ht="24" hidden="false" customHeight="true" outlineLevel="0" collapsed="false">
      <c r="B167" s="100"/>
      <c r="C167" s="97"/>
      <c r="D167" s="98"/>
      <c r="E167" s="98"/>
      <c r="F167" s="98"/>
      <c r="G167" s="97"/>
      <c r="H167" s="97"/>
      <c r="I167" s="98"/>
    </row>
    <row r="168" customFormat="false" ht="24" hidden="false" customHeight="true" outlineLevel="0" collapsed="false">
      <c r="B168" s="100"/>
      <c r="C168" s="97"/>
      <c r="D168" s="98"/>
      <c r="E168" s="98"/>
      <c r="F168" s="98"/>
      <c r="G168" s="97"/>
      <c r="H168" s="97"/>
      <c r="I168" s="98"/>
    </row>
    <row r="169" customFormat="false" ht="24" hidden="false" customHeight="true" outlineLevel="0" collapsed="false">
      <c r="B169" s="100"/>
      <c r="C169" s="97"/>
      <c r="D169" s="98"/>
      <c r="E169" s="98"/>
      <c r="F169" s="98"/>
      <c r="G169" s="97"/>
      <c r="H169" s="97"/>
      <c r="I169" s="98"/>
    </row>
    <row r="170" customFormat="false" ht="24" hidden="false" customHeight="true" outlineLevel="0" collapsed="false">
      <c r="B170" s="100"/>
      <c r="C170" s="97"/>
      <c r="D170" s="98"/>
      <c r="E170" s="98"/>
      <c r="F170" s="98"/>
      <c r="G170" s="97"/>
      <c r="H170" s="97"/>
      <c r="I170" s="98"/>
    </row>
    <row r="171" customFormat="false" ht="24" hidden="false" customHeight="true" outlineLevel="0" collapsed="false">
      <c r="B171" s="100"/>
      <c r="C171" s="97"/>
      <c r="D171" s="98"/>
      <c r="E171" s="98"/>
      <c r="F171" s="98"/>
      <c r="G171" s="97"/>
      <c r="H171" s="97"/>
      <c r="I171" s="98"/>
    </row>
    <row r="172" customFormat="false" ht="24" hidden="false" customHeight="true" outlineLevel="0" collapsed="false">
      <c r="B172" s="100"/>
      <c r="C172" s="97"/>
      <c r="D172" s="98"/>
      <c r="E172" s="98"/>
      <c r="F172" s="98"/>
      <c r="G172" s="97"/>
      <c r="H172" s="97"/>
      <c r="I172" s="98"/>
    </row>
    <row r="173" customFormat="false" ht="24" hidden="false" customHeight="true" outlineLevel="0" collapsed="false">
      <c r="B173" s="100"/>
      <c r="C173" s="97"/>
      <c r="D173" s="98"/>
      <c r="E173" s="98"/>
      <c r="F173" s="98"/>
      <c r="G173" s="97"/>
      <c r="H173" s="97"/>
      <c r="I173" s="98"/>
    </row>
    <row r="174" customFormat="false" ht="24" hidden="false" customHeight="true" outlineLevel="0" collapsed="false">
      <c r="B174" s="100"/>
      <c r="C174" s="97"/>
      <c r="D174" s="98"/>
      <c r="E174" s="98"/>
      <c r="F174" s="98"/>
      <c r="G174" s="97"/>
      <c r="H174" s="97"/>
      <c r="I174" s="98"/>
    </row>
    <row r="175" customFormat="false" ht="24" hidden="false" customHeight="true" outlineLevel="0" collapsed="false">
      <c r="B175" s="100"/>
      <c r="C175" s="97"/>
      <c r="D175" s="98"/>
      <c r="E175" s="98"/>
      <c r="F175" s="98"/>
      <c r="G175" s="97"/>
      <c r="H175" s="97"/>
      <c r="I175" s="98"/>
    </row>
    <row r="176" customFormat="false" ht="24" hidden="false" customHeight="true" outlineLevel="0" collapsed="false">
      <c r="B176" s="100"/>
      <c r="C176" s="97"/>
      <c r="D176" s="98"/>
      <c r="E176" s="98"/>
      <c r="F176" s="98"/>
      <c r="G176" s="97"/>
      <c r="H176" s="97"/>
      <c r="I176" s="98"/>
    </row>
    <row r="177" customFormat="false" ht="24" hidden="false" customHeight="true" outlineLevel="0" collapsed="false">
      <c r="B177" s="100"/>
      <c r="C177" s="97"/>
      <c r="D177" s="98"/>
      <c r="E177" s="98"/>
      <c r="F177" s="98"/>
      <c r="G177" s="97"/>
      <c r="H177" s="97"/>
      <c r="I177" s="98"/>
    </row>
    <row r="178" customFormat="false" ht="24" hidden="false" customHeight="true" outlineLevel="0" collapsed="false">
      <c r="B178" s="100"/>
      <c r="C178" s="97"/>
      <c r="D178" s="98"/>
      <c r="E178" s="98"/>
      <c r="F178" s="98"/>
      <c r="G178" s="97"/>
      <c r="H178" s="97"/>
      <c r="I178" s="98"/>
    </row>
    <row r="179" customFormat="false" ht="24" hidden="false" customHeight="true" outlineLevel="0" collapsed="false">
      <c r="B179" s="100"/>
      <c r="C179" s="97"/>
      <c r="D179" s="98"/>
      <c r="E179" s="98"/>
      <c r="F179" s="98"/>
      <c r="G179" s="97"/>
      <c r="H179" s="97"/>
      <c r="I179" s="98"/>
    </row>
    <row r="180" customFormat="false" ht="24" hidden="false" customHeight="true" outlineLevel="0" collapsed="false">
      <c r="B180" s="100"/>
      <c r="C180" s="97"/>
      <c r="D180" s="98"/>
      <c r="E180" s="98"/>
      <c r="F180" s="98"/>
      <c r="G180" s="97"/>
      <c r="H180" s="97"/>
      <c r="I180" s="98"/>
    </row>
    <row r="181" customFormat="false" ht="24" hidden="false" customHeight="true" outlineLevel="0" collapsed="false">
      <c r="B181" s="100"/>
      <c r="C181" s="97"/>
      <c r="D181" s="98"/>
      <c r="E181" s="98"/>
      <c r="F181" s="98"/>
      <c r="G181" s="97"/>
      <c r="H181" s="97"/>
      <c r="I181" s="98"/>
    </row>
    <row r="182" customFormat="false" ht="24" hidden="false" customHeight="true" outlineLevel="0" collapsed="false">
      <c r="B182" s="100"/>
      <c r="C182" s="97"/>
      <c r="D182" s="98"/>
      <c r="E182" s="98"/>
      <c r="F182" s="98"/>
      <c r="G182" s="97"/>
      <c r="H182" s="97"/>
      <c r="I182" s="98"/>
    </row>
    <row r="183" customFormat="false" ht="24" hidden="false" customHeight="true" outlineLevel="0" collapsed="false">
      <c r="B183" s="100"/>
      <c r="C183" s="97"/>
      <c r="D183" s="98"/>
      <c r="E183" s="98"/>
      <c r="F183" s="98"/>
      <c r="G183" s="97"/>
      <c r="H183" s="97"/>
      <c r="I183" s="98"/>
    </row>
    <row r="184" customFormat="false" ht="24" hidden="false" customHeight="true" outlineLevel="0" collapsed="false">
      <c r="B184" s="100"/>
      <c r="C184" s="97"/>
      <c r="D184" s="98"/>
      <c r="E184" s="98"/>
      <c r="F184" s="98"/>
      <c r="G184" s="97"/>
      <c r="H184" s="97"/>
      <c r="I184" s="98"/>
    </row>
    <row r="185" customFormat="false" ht="24" hidden="false" customHeight="true" outlineLevel="0" collapsed="false">
      <c r="B185" s="100"/>
      <c r="C185" s="97"/>
      <c r="D185" s="98"/>
      <c r="E185" s="98"/>
      <c r="F185" s="98"/>
      <c r="G185" s="97"/>
      <c r="H185" s="97"/>
      <c r="I185" s="98"/>
    </row>
    <row r="186" customFormat="false" ht="24" hidden="false" customHeight="true" outlineLevel="0" collapsed="false">
      <c r="B186" s="100"/>
      <c r="C186" s="97"/>
      <c r="D186" s="98"/>
      <c r="E186" s="98"/>
      <c r="F186" s="98"/>
      <c r="G186" s="97"/>
      <c r="H186" s="97"/>
      <c r="I186" s="98"/>
    </row>
    <row r="187" customFormat="false" ht="24" hidden="false" customHeight="true" outlineLevel="0" collapsed="false">
      <c r="B187" s="100"/>
      <c r="C187" s="97"/>
      <c r="D187" s="98"/>
      <c r="E187" s="98"/>
      <c r="F187" s="98"/>
      <c r="G187" s="97"/>
      <c r="H187" s="97"/>
      <c r="I187" s="98"/>
    </row>
    <row r="188" customFormat="false" ht="24" hidden="false" customHeight="true" outlineLevel="0" collapsed="false">
      <c r="B188" s="100"/>
      <c r="C188" s="97"/>
      <c r="D188" s="98"/>
      <c r="E188" s="98"/>
      <c r="F188" s="98"/>
      <c r="G188" s="97"/>
      <c r="H188" s="97"/>
      <c r="I188" s="98"/>
    </row>
    <row r="189" customFormat="false" ht="24" hidden="false" customHeight="true" outlineLevel="0" collapsed="false">
      <c r="B189" s="100"/>
      <c r="C189" s="97"/>
      <c r="D189" s="98"/>
      <c r="E189" s="98"/>
      <c r="F189" s="98"/>
      <c r="G189" s="97"/>
      <c r="H189" s="97"/>
      <c r="I189" s="98"/>
    </row>
    <row r="190" customFormat="false" ht="24" hidden="false" customHeight="true" outlineLevel="0" collapsed="false">
      <c r="B190" s="100"/>
      <c r="C190" s="97"/>
      <c r="D190" s="98"/>
      <c r="E190" s="98"/>
      <c r="F190" s="98"/>
      <c r="G190" s="97"/>
      <c r="H190" s="97"/>
      <c r="I190" s="98"/>
    </row>
    <row r="191" customFormat="false" ht="24" hidden="false" customHeight="true" outlineLevel="0" collapsed="false">
      <c r="B191" s="100"/>
      <c r="C191" s="97"/>
      <c r="D191" s="98"/>
      <c r="E191" s="98"/>
      <c r="F191" s="98"/>
      <c r="G191" s="97"/>
      <c r="H191" s="97"/>
      <c r="I191" s="98"/>
    </row>
    <row r="192" customFormat="false" ht="24" hidden="false" customHeight="true" outlineLevel="0" collapsed="false">
      <c r="B192" s="100"/>
      <c r="C192" s="97"/>
      <c r="D192" s="98"/>
      <c r="E192" s="98"/>
      <c r="F192" s="98"/>
      <c r="G192" s="97"/>
      <c r="H192" s="97"/>
      <c r="I192" s="98"/>
    </row>
    <row r="193" customFormat="false" ht="24" hidden="false" customHeight="true" outlineLevel="0" collapsed="false">
      <c r="B193" s="100"/>
      <c r="C193" s="97"/>
      <c r="D193" s="98"/>
      <c r="E193" s="98"/>
      <c r="F193" s="98"/>
      <c r="G193" s="97"/>
      <c r="H193" s="97"/>
      <c r="I193" s="98"/>
    </row>
    <row r="194" customFormat="false" ht="24" hidden="false" customHeight="true" outlineLevel="0" collapsed="false">
      <c r="B194" s="100"/>
      <c r="C194" s="97"/>
      <c r="D194" s="98"/>
      <c r="E194" s="98"/>
      <c r="F194" s="98"/>
      <c r="G194" s="97"/>
      <c r="H194" s="97"/>
      <c r="I194" s="98"/>
    </row>
    <row r="195" customFormat="false" ht="24" hidden="false" customHeight="true" outlineLevel="0" collapsed="false">
      <c r="B195" s="100"/>
      <c r="C195" s="97"/>
      <c r="D195" s="98"/>
      <c r="E195" s="98"/>
      <c r="F195" s="98"/>
      <c r="G195" s="97"/>
      <c r="H195" s="97"/>
      <c r="I195" s="98"/>
    </row>
    <row r="196" customFormat="false" ht="24" hidden="false" customHeight="true" outlineLevel="0" collapsed="false">
      <c r="B196" s="100"/>
      <c r="C196" s="97"/>
      <c r="D196" s="98"/>
      <c r="E196" s="98"/>
      <c r="F196" s="98"/>
      <c r="G196" s="97"/>
      <c r="H196" s="97"/>
      <c r="I196" s="98"/>
    </row>
    <row r="197" customFormat="false" ht="24" hidden="false" customHeight="true" outlineLevel="0" collapsed="false">
      <c r="B197" s="100"/>
      <c r="C197" s="97"/>
      <c r="D197" s="98"/>
      <c r="E197" s="98"/>
      <c r="F197" s="98"/>
      <c r="G197" s="97"/>
      <c r="H197" s="97"/>
      <c r="I197" s="98"/>
    </row>
    <row r="198" customFormat="false" ht="24" hidden="false" customHeight="true" outlineLevel="0" collapsed="false">
      <c r="B198" s="100"/>
      <c r="C198" s="97"/>
      <c r="D198" s="98"/>
      <c r="E198" s="98"/>
      <c r="F198" s="98"/>
      <c r="G198" s="97"/>
      <c r="H198" s="97"/>
      <c r="I198" s="98"/>
    </row>
    <row r="199" customFormat="false" ht="24" hidden="false" customHeight="true" outlineLevel="0" collapsed="false">
      <c r="B199" s="100"/>
      <c r="C199" s="97"/>
      <c r="D199" s="98"/>
      <c r="E199" s="98"/>
      <c r="F199" s="98"/>
      <c r="G199" s="97"/>
      <c r="H199" s="97"/>
      <c r="I199" s="98"/>
    </row>
    <row r="200" customFormat="false" ht="24" hidden="false" customHeight="true" outlineLevel="0" collapsed="false">
      <c r="B200" s="100"/>
      <c r="C200" s="97"/>
      <c r="D200" s="98"/>
      <c r="E200" s="98"/>
      <c r="F200" s="98"/>
      <c r="G200" s="97"/>
      <c r="H200" s="97"/>
      <c r="I200" s="98"/>
    </row>
    <row r="201" customFormat="false" ht="24" hidden="false" customHeight="true" outlineLevel="0" collapsed="false">
      <c r="B201" s="100"/>
      <c r="C201" s="97"/>
      <c r="D201" s="98"/>
      <c r="E201" s="98"/>
      <c r="F201" s="98"/>
      <c r="G201" s="97"/>
      <c r="H201" s="97"/>
      <c r="I201" s="98"/>
    </row>
    <row r="202" customFormat="false" ht="24" hidden="false" customHeight="true" outlineLevel="0" collapsed="false">
      <c r="B202" s="100"/>
      <c r="C202" s="97"/>
      <c r="D202" s="98"/>
      <c r="E202" s="98"/>
      <c r="F202" s="98"/>
      <c r="G202" s="97"/>
      <c r="H202" s="97"/>
      <c r="I202" s="98"/>
    </row>
    <row r="203" customFormat="false" ht="24" hidden="false" customHeight="true" outlineLevel="0" collapsed="false">
      <c r="B203" s="100"/>
      <c r="C203" s="97"/>
      <c r="D203" s="98"/>
      <c r="E203" s="98"/>
      <c r="F203" s="98"/>
      <c r="G203" s="97"/>
      <c r="H203" s="97"/>
      <c r="I203" s="98"/>
    </row>
    <row r="204" customFormat="false" ht="24" hidden="false" customHeight="true" outlineLevel="0" collapsed="false">
      <c r="B204" s="100"/>
      <c r="C204" s="97"/>
      <c r="D204" s="98"/>
      <c r="E204" s="98"/>
      <c r="F204" s="98"/>
      <c r="G204" s="97"/>
      <c r="H204" s="97"/>
      <c r="I204" s="98"/>
    </row>
    <row r="205" customFormat="false" ht="24" hidden="false" customHeight="true" outlineLevel="0" collapsed="false">
      <c r="B205" s="100"/>
      <c r="C205" s="97"/>
      <c r="D205" s="98"/>
      <c r="E205" s="98"/>
      <c r="F205" s="98"/>
      <c r="G205" s="97"/>
      <c r="H205" s="97"/>
      <c r="I205" s="98"/>
    </row>
    <row r="206" customFormat="false" ht="24" hidden="false" customHeight="true" outlineLevel="0" collapsed="false">
      <c r="B206" s="100"/>
      <c r="C206" s="97"/>
      <c r="D206" s="98"/>
      <c r="E206" s="98"/>
      <c r="F206" s="98"/>
      <c r="G206" s="97"/>
      <c r="H206" s="97"/>
      <c r="I206" s="98"/>
    </row>
    <row r="207" customFormat="false" ht="24" hidden="false" customHeight="true" outlineLevel="0" collapsed="false">
      <c r="B207" s="100"/>
      <c r="C207" s="97"/>
      <c r="D207" s="98"/>
      <c r="E207" s="98"/>
      <c r="F207" s="98"/>
      <c r="G207" s="97"/>
      <c r="H207" s="97"/>
      <c r="I207" s="98"/>
    </row>
    <row r="208" customFormat="false" ht="24" hidden="false" customHeight="true" outlineLevel="0" collapsed="false">
      <c r="B208" s="100"/>
      <c r="C208" s="97"/>
      <c r="D208" s="98"/>
      <c r="E208" s="98"/>
      <c r="F208" s="98"/>
      <c r="G208" s="97"/>
      <c r="H208" s="97"/>
      <c r="I208" s="98"/>
    </row>
    <row r="209" customFormat="false" ht="24" hidden="false" customHeight="true" outlineLevel="0" collapsed="false">
      <c r="B209" s="100"/>
      <c r="C209" s="97"/>
      <c r="D209" s="98"/>
      <c r="E209" s="98"/>
      <c r="F209" s="98"/>
      <c r="G209" s="97"/>
      <c r="H209" s="97"/>
      <c r="I209" s="98"/>
    </row>
    <row r="210" customFormat="false" ht="24" hidden="false" customHeight="true" outlineLevel="0" collapsed="false">
      <c r="B210" s="100"/>
      <c r="C210" s="97"/>
      <c r="D210" s="98"/>
      <c r="E210" s="98"/>
      <c r="F210" s="98"/>
      <c r="G210" s="97"/>
      <c r="H210" s="97"/>
      <c r="I210" s="98"/>
    </row>
    <row r="211" customFormat="false" ht="24" hidden="false" customHeight="true" outlineLevel="0" collapsed="false">
      <c r="B211" s="100"/>
      <c r="C211" s="97"/>
      <c r="D211" s="98"/>
      <c r="E211" s="98"/>
      <c r="F211" s="98"/>
      <c r="G211" s="97"/>
      <c r="H211" s="97"/>
      <c r="I211" s="98"/>
    </row>
    <row r="212" customFormat="false" ht="24" hidden="false" customHeight="true" outlineLevel="0" collapsed="false">
      <c r="B212" s="100"/>
      <c r="C212" s="97"/>
      <c r="D212" s="98"/>
      <c r="E212" s="98"/>
      <c r="F212" s="98"/>
      <c r="G212" s="97"/>
      <c r="H212" s="97"/>
      <c r="I212" s="98"/>
    </row>
    <row r="213" customFormat="false" ht="24" hidden="false" customHeight="true" outlineLevel="0" collapsed="false">
      <c r="B213" s="100"/>
      <c r="C213" s="97"/>
      <c r="D213" s="98"/>
      <c r="E213" s="98"/>
      <c r="F213" s="98"/>
      <c r="G213" s="97"/>
      <c r="H213" s="97"/>
      <c r="I213" s="98"/>
    </row>
    <row r="214" customFormat="false" ht="24" hidden="false" customHeight="true" outlineLevel="0" collapsed="false">
      <c r="B214" s="100"/>
      <c r="C214" s="97"/>
      <c r="D214" s="98"/>
      <c r="E214" s="98"/>
      <c r="F214" s="98"/>
      <c r="G214" s="97"/>
      <c r="H214" s="97"/>
      <c r="I214" s="98"/>
    </row>
    <row r="215" customFormat="false" ht="24" hidden="false" customHeight="true" outlineLevel="0" collapsed="false">
      <c r="B215" s="100"/>
      <c r="C215" s="97"/>
      <c r="D215" s="98"/>
      <c r="E215" s="98"/>
      <c r="F215" s="98"/>
      <c r="G215" s="97"/>
      <c r="H215" s="97"/>
      <c r="I215" s="98"/>
    </row>
    <row r="216" customFormat="false" ht="24" hidden="false" customHeight="true" outlineLevel="0" collapsed="false">
      <c r="B216" s="100"/>
      <c r="C216" s="97"/>
      <c r="D216" s="98"/>
      <c r="E216" s="98"/>
      <c r="F216" s="98"/>
      <c r="G216" s="97"/>
      <c r="H216" s="97"/>
      <c r="I216" s="98"/>
    </row>
    <row r="217" customFormat="false" ht="24" hidden="false" customHeight="true" outlineLevel="0" collapsed="false">
      <c r="B217" s="100"/>
      <c r="C217" s="97"/>
      <c r="D217" s="98"/>
      <c r="E217" s="98"/>
      <c r="F217" s="98"/>
      <c r="G217" s="97"/>
      <c r="H217" s="97"/>
      <c r="I217" s="98"/>
    </row>
    <row r="218" customFormat="false" ht="24" hidden="false" customHeight="true" outlineLevel="0" collapsed="false">
      <c r="B218" s="100"/>
      <c r="C218" s="97"/>
      <c r="D218" s="98"/>
      <c r="E218" s="98"/>
      <c r="F218" s="98"/>
      <c r="G218" s="97"/>
      <c r="H218" s="97"/>
      <c r="I218" s="98"/>
    </row>
    <row r="219" customFormat="false" ht="24" hidden="false" customHeight="true" outlineLevel="0" collapsed="false">
      <c r="B219" s="100"/>
      <c r="C219" s="97"/>
      <c r="D219" s="98"/>
      <c r="E219" s="98"/>
      <c r="F219" s="98"/>
      <c r="G219" s="97"/>
      <c r="H219" s="97"/>
      <c r="I219" s="98"/>
    </row>
    <row r="220" customFormat="false" ht="24" hidden="false" customHeight="true" outlineLevel="0" collapsed="false">
      <c r="B220" s="100"/>
      <c r="C220" s="97"/>
      <c r="D220" s="98"/>
      <c r="E220" s="98"/>
      <c r="F220" s="98"/>
      <c r="G220" s="97"/>
      <c r="H220" s="97"/>
      <c r="I220" s="98"/>
    </row>
    <row r="221" customFormat="false" ht="24" hidden="false" customHeight="true" outlineLevel="0" collapsed="false">
      <c r="B221" s="100"/>
      <c r="C221" s="97"/>
      <c r="D221" s="98"/>
      <c r="E221" s="98"/>
      <c r="F221" s="98"/>
      <c r="G221" s="97"/>
      <c r="H221" s="97"/>
      <c r="I221" s="98"/>
    </row>
    <row r="222" customFormat="false" ht="24" hidden="false" customHeight="true" outlineLevel="0" collapsed="false">
      <c r="B222" s="100"/>
      <c r="C222" s="97"/>
      <c r="D222" s="98"/>
      <c r="E222" s="98"/>
      <c r="F222" s="98"/>
      <c r="G222" s="97"/>
      <c r="H222" s="97"/>
      <c r="I222" s="98"/>
    </row>
    <row r="223" customFormat="false" ht="24" hidden="false" customHeight="true" outlineLevel="0" collapsed="false">
      <c r="B223" s="100"/>
      <c r="C223" s="97"/>
      <c r="D223" s="98"/>
      <c r="E223" s="98"/>
      <c r="F223" s="98"/>
      <c r="G223" s="97"/>
      <c r="H223" s="97"/>
      <c r="I223" s="98"/>
    </row>
    <row r="224" customFormat="false" ht="24" hidden="false" customHeight="true" outlineLevel="0" collapsed="false">
      <c r="B224" s="100"/>
      <c r="C224" s="97"/>
      <c r="D224" s="98"/>
      <c r="E224" s="98"/>
      <c r="F224" s="98"/>
      <c r="G224" s="97"/>
      <c r="H224" s="97"/>
      <c r="I224" s="98"/>
    </row>
    <row r="225" customFormat="false" ht="24" hidden="false" customHeight="true" outlineLevel="0" collapsed="false">
      <c r="B225" s="100"/>
      <c r="C225" s="97"/>
      <c r="D225" s="98"/>
      <c r="E225" s="98"/>
      <c r="F225" s="98"/>
      <c r="G225" s="97"/>
      <c r="H225" s="97"/>
      <c r="I225" s="98"/>
    </row>
    <row r="226" customFormat="false" ht="24" hidden="false" customHeight="true" outlineLevel="0" collapsed="false">
      <c r="B226" s="100"/>
      <c r="C226" s="97"/>
      <c r="D226" s="98"/>
      <c r="E226" s="98"/>
      <c r="F226" s="98"/>
      <c r="G226" s="97"/>
      <c r="H226" s="97"/>
      <c r="I226" s="98"/>
    </row>
    <row r="227" customFormat="false" ht="24" hidden="false" customHeight="true" outlineLevel="0" collapsed="false">
      <c r="B227" s="100"/>
      <c r="C227" s="97"/>
      <c r="D227" s="98"/>
      <c r="E227" s="98"/>
      <c r="F227" s="98"/>
      <c r="G227" s="97"/>
      <c r="H227" s="97"/>
      <c r="I227" s="98"/>
    </row>
    <row r="228" customFormat="false" ht="24" hidden="false" customHeight="true" outlineLevel="0" collapsed="false">
      <c r="B228" s="100"/>
      <c r="C228" s="97"/>
      <c r="D228" s="98"/>
      <c r="E228" s="98"/>
      <c r="F228" s="98"/>
      <c r="G228" s="97"/>
      <c r="H228" s="97"/>
      <c r="I228" s="98"/>
    </row>
    <row r="229" customFormat="false" ht="24" hidden="false" customHeight="true" outlineLevel="0" collapsed="false">
      <c r="B229" s="100"/>
      <c r="C229" s="97"/>
      <c r="D229" s="98"/>
      <c r="E229" s="98"/>
      <c r="F229" s="98"/>
      <c r="G229" s="97"/>
      <c r="H229" s="97"/>
      <c r="I229" s="98"/>
    </row>
    <row r="230" customFormat="false" ht="24" hidden="false" customHeight="true" outlineLevel="0" collapsed="false">
      <c r="B230" s="100"/>
      <c r="C230" s="97"/>
      <c r="D230" s="98"/>
      <c r="E230" s="98"/>
      <c r="F230" s="98"/>
      <c r="G230" s="97"/>
      <c r="H230" s="97"/>
      <c r="I230" s="98"/>
    </row>
    <row r="231" customFormat="false" ht="24" hidden="false" customHeight="true" outlineLevel="0" collapsed="false">
      <c r="B231" s="100"/>
      <c r="C231" s="97"/>
      <c r="D231" s="98"/>
      <c r="E231" s="98"/>
      <c r="F231" s="98"/>
      <c r="G231" s="97"/>
      <c r="H231" s="97"/>
      <c r="I231" s="98"/>
    </row>
    <row r="232" customFormat="false" ht="24" hidden="false" customHeight="true" outlineLevel="0" collapsed="false">
      <c r="B232" s="100"/>
      <c r="C232" s="97"/>
      <c r="D232" s="98"/>
      <c r="E232" s="98"/>
      <c r="F232" s="98"/>
      <c r="G232" s="97"/>
      <c r="H232" s="97"/>
      <c r="I232" s="98"/>
    </row>
    <row r="233" customFormat="false" ht="24" hidden="false" customHeight="true" outlineLevel="0" collapsed="false">
      <c r="B233" s="100"/>
      <c r="C233" s="97"/>
      <c r="D233" s="98"/>
      <c r="E233" s="98"/>
      <c r="F233" s="98"/>
      <c r="G233" s="97"/>
      <c r="H233" s="97"/>
      <c r="I233" s="98"/>
    </row>
    <row r="234" customFormat="false" ht="24" hidden="false" customHeight="true" outlineLevel="0" collapsed="false">
      <c r="B234" s="100"/>
      <c r="C234" s="97"/>
      <c r="D234" s="98"/>
      <c r="E234" s="98"/>
      <c r="F234" s="98"/>
      <c r="G234" s="97"/>
      <c r="H234" s="97"/>
      <c r="I234" s="98"/>
    </row>
    <row r="235" customFormat="false" ht="24" hidden="false" customHeight="true" outlineLevel="0" collapsed="false">
      <c r="B235" s="100"/>
      <c r="C235" s="97"/>
      <c r="D235" s="98"/>
      <c r="E235" s="98"/>
      <c r="F235" s="98"/>
      <c r="G235" s="97"/>
      <c r="H235" s="97"/>
      <c r="I235" s="98"/>
    </row>
    <row r="236" customFormat="false" ht="24" hidden="false" customHeight="true" outlineLevel="0" collapsed="false">
      <c r="B236" s="100"/>
      <c r="C236" s="97"/>
      <c r="D236" s="98"/>
      <c r="E236" s="98"/>
      <c r="F236" s="98"/>
      <c r="G236" s="97"/>
      <c r="H236" s="97"/>
      <c r="I236" s="98"/>
    </row>
    <row r="237" customFormat="false" ht="24" hidden="false" customHeight="true" outlineLevel="0" collapsed="false">
      <c r="B237" s="100"/>
      <c r="C237" s="97"/>
      <c r="D237" s="98"/>
      <c r="E237" s="98"/>
      <c r="F237" s="98"/>
      <c r="G237" s="97"/>
      <c r="H237" s="97"/>
      <c r="I237" s="98"/>
    </row>
    <row r="238" customFormat="false" ht="24" hidden="false" customHeight="true" outlineLevel="0" collapsed="false">
      <c r="B238" s="100"/>
      <c r="C238" s="97"/>
      <c r="D238" s="98"/>
      <c r="E238" s="98"/>
      <c r="F238" s="98"/>
      <c r="G238" s="97"/>
      <c r="H238" s="97"/>
      <c r="I238" s="98"/>
    </row>
    <row r="239" customFormat="false" ht="24" hidden="false" customHeight="true" outlineLevel="0" collapsed="false">
      <c r="B239" s="100"/>
      <c r="C239" s="97"/>
      <c r="D239" s="98"/>
      <c r="E239" s="98"/>
      <c r="F239" s="98"/>
      <c r="G239" s="97"/>
      <c r="H239" s="97"/>
      <c r="I239" s="98"/>
    </row>
    <row r="240" customFormat="false" ht="24" hidden="false" customHeight="true" outlineLevel="0" collapsed="false">
      <c r="B240" s="100"/>
      <c r="C240" s="97"/>
      <c r="D240" s="98"/>
      <c r="E240" s="98"/>
      <c r="F240" s="98"/>
      <c r="G240" s="97"/>
      <c r="H240" s="97"/>
      <c r="I240" s="98"/>
    </row>
    <row r="241" customFormat="false" ht="24" hidden="false" customHeight="true" outlineLevel="0" collapsed="false">
      <c r="B241" s="100"/>
      <c r="C241" s="97"/>
      <c r="D241" s="98"/>
      <c r="E241" s="98"/>
      <c r="F241" s="98"/>
      <c r="G241" s="97"/>
      <c r="H241" s="97"/>
      <c r="I241" s="98"/>
    </row>
    <row r="242" customFormat="false" ht="24" hidden="false" customHeight="true" outlineLevel="0" collapsed="false">
      <c r="B242" s="100"/>
      <c r="C242" s="97"/>
      <c r="D242" s="98"/>
      <c r="E242" s="98"/>
      <c r="F242" s="98"/>
      <c r="G242" s="97"/>
      <c r="H242" s="97"/>
      <c r="I242" s="98"/>
    </row>
    <row r="243" customFormat="false" ht="24" hidden="false" customHeight="true" outlineLevel="0" collapsed="false">
      <c r="B243" s="100"/>
      <c r="C243" s="97"/>
      <c r="D243" s="98"/>
      <c r="E243" s="98"/>
      <c r="F243" s="98"/>
      <c r="G243" s="97"/>
      <c r="H243" s="97"/>
      <c r="I243" s="98"/>
    </row>
    <row r="244" customFormat="false" ht="24" hidden="false" customHeight="true" outlineLevel="0" collapsed="false">
      <c r="B244" s="100"/>
      <c r="C244" s="97"/>
      <c r="D244" s="98"/>
      <c r="E244" s="98"/>
      <c r="F244" s="98"/>
      <c r="G244" s="97"/>
      <c r="H244" s="97"/>
      <c r="I244" s="98"/>
    </row>
    <row r="245" customFormat="false" ht="24" hidden="false" customHeight="true" outlineLevel="0" collapsed="false">
      <c r="B245" s="100"/>
      <c r="C245" s="97"/>
      <c r="D245" s="98"/>
      <c r="E245" s="98"/>
      <c r="F245" s="98"/>
      <c r="G245" s="97"/>
      <c r="H245" s="97"/>
      <c r="I245" s="98"/>
    </row>
    <row r="246" customFormat="false" ht="24" hidden="false" customHeight="true" outlineLevel="0" collapsed="false">
      <c r="B246" s="100"/>
      <c r="C246" s="97"/>
      <c r="D246" s="98"/>
      <c r="E246" s="98"/>
      <c r="F246" s="98"/>
      <c r="G246" s="97"/>
      <c r="H246" s="97"/>
      <c r="I246" s="98"/>
    </row>
    <row r="247" customFormat="false" ht="24" hidden="false" customHeight="true" outlineLevel="0" collapsed="false">
      <c r="B247" s="100"/>
      <c r="C247" s="97"/>
      <c r="D247" s="98"/>
      <c r="E247" s="98"/>
      <c r="F247" s="98"/>
      <c r="G247" s="97"/>
      <c r="H247" s="97"/>
      <c r="I247" s="98"/>
    </row>
    <row r="248" customFormat="false" ht="24" hidden="false" customHeight="true" outlineLevel="0" collapsed="false">
      <c r="B248" s="100"/>
      <c r="C248" s="97"/>
      <c r="D248" s="98"/>
      <c r="E248" s="98"/>
      <c r="F248" s="98"/>
      <c r="G248" s="97"/>
      <c r="H248" s="97"/>
      <c r="I248" s="98"/>
    </row>
    <row r="249" customFormat="false" ht="24" hidden="false" customHeight="true" outlineLevel="0" collapsed="false">
      <c r="B249" s="100"/>
      <c r="C249" s="97"/>
      <c r="D249" s="98"/>
      <c r="E249" s="98"/>
      <c r="F249" s="98"/>
      <c r="G249" s="97"/>
      <c r="H249" s="97"/>
      <c r="I249" s="98"/>
    </row>
    <row r="250" customFormat="false" ht="24" hidden="false" customHeight="true" outlineLevel="0" collapsed="false">
      <c r="B250" s="100"/>
      <c r="C250" s="97"/>
      <c r="D250" s="98"/>
      <c r="E250" s="98"/>
      <c r="F250" s="98"/>
      <c r="G250" s="97"/>
      <c r="H250" s="97"/>
      <c r="I250" s="98"/>
    </row>
    <row r="251" customFormat="false" ht="24" hidden="false" customHeight="true" outlineLevel="0" collapsed="false">
      <c r="B251" s="100"/>
      <c r="C251" s="97"/>
      <c r="D251" s="98"/>
      <c r="E251" s="98"/>
      <c r="F251" s="98"/>
      <c r="G251" s="97"/>
      <c r="H251" s="97"/>
      <c r="I251" s="98"/>
    </row>
    <row r="252" customFormat="false" ht="24" hidden="false" customHeight="true" outlineLevel="0" collapsed="false">
      <c r="B252" s="100"/>
      <c r="C252" s="97"/>
      <c r="D252" s="98"/>
      <c r="E252" s="98"/>
      <c r="F252" s="98"/>
      <c r="G252" s="97"/>
      <c r="H252" s="97"/>
      <c r="I252" s="98"/>
    </row>
    <row r="253" customFormat="false" ht="24" hidden="false" customHeight="true" outlineLevel="0" collapsed="false">
      <c r="B253" s="100"/>
      <c r="C253" s="97"/>
      <c r="D253" s="98"/>
      <c r="E253" s="98"/>
      <c r="F253" s="98"/>
      <c r="G253" s="97"/>
      <c r="H253" s="97"/>
      <c r="I253" s="98"/>
    </row>
    <row r="254" customFormat="false" ht="24" hidden="false" customHeight="true" outlineLevel="0" collapsed="false">
      <c r="B254" s="100"/>
      <c r="C254" s="97"/>
      <c r="D254" s="98"/>
      <c r="E254" s="98"/>
      <c r="F254" s="98"/>
      <c r="G254" s="97"/>
      <c r="H254" s="97"/>
      <c r="I254" s="98"/>
    </row>
    <row r="255" customFormat="false" ht="24" hidden="false" customHeight="true" outlineLevel="0" collapsed="false">
      <c r="B255" s="100"/>
      <c r="C255" s="97"/>
      <c r="D255" s="98"/>
      <c r="E255" s="98"/>
      <c r="F255" s="98"/>
      <c r="G255" s="97"/>
      <c r="H255" s="97"/>
      <c r="I255" s="98"/>
    </row>
    <row r="256" customFormat="false" ht="24" hidden="false" customHeight="true" outlineLevel="0" collapsed="false">
      <c r="B256" s="100"/>
      <c r="C256" s="97"/>
      <c r="D256" s="98"/>
      <c r="E256" s="98"/>
      <c r="F256" s="98"/>
      <c r="G256" s="97"/>
      <c r="H256" s="97"/>
      <c r="I256" s="98"/>
    </row>
    <row r="257" customFormat="false" ht="24" hidden="false" customHeight="true" outlineLevel="0" collapsed="false">
      <c r="B257" s="100"/>
      <c r="C257" s="97"/>
      <c r="D257" s="98"/>
      <c r="E257" s="98"/>
      <c r="F257" s="98"/>
      <c r="G257" s="97"/>
      <c r="H257" s="97"/>
      <c r="I257" s="98"/>
    </row>
    <row r="258" customFormat="false" ht="24" hidden="false" customHeight="true" outlineLevel="0" collapsed="false">
      <c r="B258" s="100"/>
      <c r="C258" s="97"/>
      <c r="D258" s="98"/>
      <c r="E258" s="98"/>
      <c r="F258" s="98"/>
      <c r="G258" s="97"/>
      <c r="H258" s="97"/>
      <c r="I258" s="98"/>
    </row>
    <row r="259" customFormat="false" ht="24" hidden="false" customHeight="true" outlineLevel="0" collapsed="false">
      <c r="B259" s="100"/>
      <c r="C259" s="97"/>
      <c r="D259" s="98"/>
      <c r="E259" s="98"/>
      <c r="F259" s="98"/>
      <c r="G259" s="97"/>
      <c r="H259" s="97"/>
      <c r="I259" s="98"/>
    </row>
    <row r="260" customFormat="false" ht="24" hidden="false" customHeight="true" outlineLevel="0" collapsed="false">
      <c r="B260" s="100"/>
      <c r="C260" s="97"/>
      <c r="D260" s="98"/>
      <c r="E260" s="98"/>
      <c r="F260" s="98"/>
      <c r="G260" s="97"/>
      <c r="H260" s="97"/>
      <c r="I260" s="98"/>
    </row>
    <row r="261" customFormat="false" ht="24" hidden="false" customHeight="true" outlineLevel="0" collapsed="false">
      <c r="B261" s="100"/>
      <c r="C261" s="97"/>
      <c r="D261" s="98"/>
      <c r="E261" s="98"/>
      <c r="F261" s="98"/>
      <c r="G261" s="97"/>
      <c r="H261" s="97"/>
      <c r="I261" s="98"/>
    </row>
    <row r="262" customFormat="false" ht="24" hidden="false" customHeight="true" outlineLevel="0" collapsed="false">
      <c r="B262" s="100"/>
      <c r="C262" s="97"/>
      <c r="D262" s="98"/>
      <c r="E262" s="98"/>
      <c r="F262" s="98"/>
      <c r="G262" s="97"/>
      <c r="H262" s="97"/>
      <c r="I262" s="98"/>
    </row>
    <row r="263" customFormat="false" ht="24" hidden="false" customHeight="true" outlineLevel="0" collapsed="false">
      <c r="B263" s="100"/>
      <c r="C263" s="97"/>
      <c r="D263" s="98"/>
      <c r="E263" s="98"/>
      <c r="F263" s="98"/>
      <c r="G263" s="97"/>
      <c r="H263" s="97"/>
      <c r="I263" s="98"/>
    </row>
    <row r="264" customFormat="false" ht="24" hidden="false" customHeight="true" outlineLevel="0" collapsed="false">
      <c r="B264" s="100"/>
      <c r="C264" s="97"/>
      <c r="D264" s="98"/>
      <c r="E264" s="98"/>
      <c r="F264" s="98"/>
      <c r="G264" s="97"/>
      <c r="H264" s="97"/>
      <c r="I264" s="98"/>
    </row>
    <row r="265" customFormat="false" ht="24" hidden="false" customHeight="true" outlineLevel="0" collapsed="false">
      <c r="B265" s="100"/>
      <c r="C265" s="97"/>
      <c r="D265" s="98"/>
      <c r="E265" s="98"/>
      <c r="F265" s="98"/>
      <c r="G265" s="97"/>
      <c r="H265" s="97"/>
      <c r="I265" s="98"/>
    </row>
    <row r="266" customFormat="false" ht="24" hidden="false" customHeight="true" outlineLevel="0" collapsed="false">
      <c r="B266" s="100"/>
      <c r="C266" s="97"/>
      <c r="D266" s="98"/>
      <c r="E266" s="98"/>
      <c r="F266" s="98"/>
      <c r="G266" s="97"/>
      <c r="H266" s="97"/>
      <c r="I266" s="98"/>
    </row>
    <row r="267" customFormat="false" ht="24" hidden="false" customHeight="true" outlineLevel="0" collapsed="false">
      <c r="B267" s="100"/>
      <c r="C267" s="97"/>
      <c r="D267" s="98"/>
      <c r="E267" s="98"/>
      <c r="F267" s="98"/>
      <c r="G267" s="97"/>
      <c r="H267" s="97"/>
      <c r="I267" s="98"/>
    </row>
    <row r="268" customFormat="false" ht="24" hidden="false" customHeight="true" outlineLevel="0" collapsed="false">
      <c r="B268" s="100"/>
      <c r="C268" s="97"/>
      <c r="D268" s="98"/>
      <c r="E268" s="98"/>
      <c r="F268" s="98"/>
      <c r="G268" s="97"/>
      <c r="H268" s="97"/>
      <c r="I268" s="98"/>
    </row>
    <row r="269" customFormat="false" ht="24" hidden="false" customHeight="true" outlineLevel="0" collapsed="false">
      <c r="B269" s="100"/>
      <c r="C269" s="97"/>
      <c r="D269" s="98"/>
      <c r="E269" s="98"/>
      <c r="F269" s="98"/>
      <c r="G269" s="97"/>
      <c r="H269" s="97"/>
      <c r="I269" s="98"/>
    </row>
    <row r="270" customFormat="false" ht="24" hidden="false" customHeight="true" outlineLevel="0" collapsed="false">
      <c r="B270" s="100"/>
      <c r="C270" s="97"/>
      <c r="D270" s="98"/>
      <c r="E270" s="98"/>
      <c r="F270" s="98"/>
      <c r="G270" s="97"/>
      <c r="H270" s="97"/>
      <c r="I270" s="98"/>
    </row>
    <row r="271" customFormat="false" ht="24" hidden="false" customHeight="true" outlineLevel="0" collapsed="false">
      <c r="B271" s="100"/>
      <c r="C271" s="97"/>
      <c r="D271" s="98"/>
      <c r="E271" s="98"/>
      <c r="F271" s="98"/>
      <c r="G271" s="97"/>
      <c r="H271" s="97"/>
      <c r="I271" s="98"/>
    </row>
    <row r="272" customFormat="false" ht="24" hidden="false" customHeight="true" outlineLevel="0" collapsed="false">
      <c r="B272" s="100"/>
      <c r="C272" s="97"/>
      <c r="D272" s="98"/>
      <c r="E272" s="98"/>
      <c r="F272" s="98"/>
      <c r="G272" s="97"/>
      <c r="H272" s="97"/>
      <c r="I272" s="98"/>
    </row>
    <row r="273" customFormat="false" ht="24" hidden="false" customHeight="true" outlineLevel="0" collapsed="false">
      <c r="B273" s="100"/>
      <c r="C273" s="97"/>
      <c r="D273" s="98"/>
      <c r="E273" s="98"/>
      <c r="F273" s="98"/>
      <c r="G273" s="97"/>
      <c r="H273" s="97"/>
      <c r="I273" s="98"/>
    </row>
    <row r="274" customFormat="false" ht="24" hidden="false" customHeight="true" outlineLevel="0" collapsed="false">
      <c r="B274" s="100"/>
      <c r="C274" s="97"/>
      <c r="D274" s="98"/>
      <c r="E274" s="98"/>
      <c r="F274" s="98"/>
      <c r="G274" s="97"/>
      <c r="H274" s="97"/>
      <c r="I274" s="98"/>
    </row>
    <row r="275" customFormat="false" ht="24" hidden="false" customHeight="true" outlineLevel="0" collapsed="false">
      <c r="B275" s="100"/>
      <c r="C275" s="97"/>
      <c r="D275" s="98"/>
      <c r="E275" s="98"/>
      <c r="F275" s="98"/>
      <c r="G275" s="97"/>
      <c r="H275" s="97"/>
      <c r="I275" s="98"/>
    </row>
    <row r="276" customFormat="false" ht="24" hidden="false" customHeight="true" outlineLevel="0" collapsed="false">
      <c r="B276" s="100"/>
      <c r="C276" s="97"/>
      <c r="D276" s="98"/>
      <c r="E276" s="98"/>
      <c r="F276" s="98"/>
      <c r="G276" s="97"/>
      <c r="H276" s="97"/>
      <c r="I276" s="98"/>
    </row>
    <row r="277" customFormat="false" ht="24" hidden="false" customHeight="true" outlineLevel="0" collapsed="false">
      <c r="B277" s="100"/>
      <c r="C277" s="97"/>
      <c r="D277" s="98"/>
      <c r="E277" s="98"/>
      <c r="F277" s="98"/>
      <c r="G277" s="97"/>
      <c r="H277" s="97"/>
      <c r="I277" s="98"/>
    </row>
    <row r="278" customFormat="false" ht="24" hidden="false" customHeight="true" outlineLevel="0" collapsed="false">
      <c r="B278" s="100"/>
      <c r="C278" s="97"/>
      <c r="D278" s="98"/>
      <c r="E278" s="98"/>
      <c r="F278" s="98"/>
      <c r="G278" s="97"/>
      <c r="H278" s="97"/>
      <c r="I278" s="98"/>
    </row>
    <row r="279" customFormat="false" ht="24" hidden="false" customHeight="true" outlineLevel="0" collapsed="false">
      <c r="B279" s="100"/>
      <c r="C279" s="97"/>
      <c r="D279" s="98"/>
      <c r="E279" s="98"/>
      <c r="F279" s="98"/>
      <c r="G279" s="97"/>
      <c r="H279" s="97"/>
      <c r="I279" s="98"/>
    </row>
    <row r="280" customFormat="false" ht="24" hidden="false" customHeight="true" outlineLevel="0" collapsed="false">
      <c r="B280" s="100"/>
      <c r="C280" s="97"/>
      <c r="D280" s="98"/>
      <c r="E280" s="98"/>
      <c r="F280" s="98"/>
      <c r="G280" s="97"/>
      <c r="H280" s="97"/>
      <c r="I280" s="98"/>
    </row>
    <row r="281" customFormat="false" ht="24" hidden="false" customHeight="true" outlineLevel="0" collapsed="false">
      <c r="B281" s="100"/>
      <c r="C281" s="97"/>
      <c r="D281" s="98"/>
      <c r="E281" s="98"/>
      <c r="F281" s="98"/>
      <c r="G281" s="97"/>
      <c r="H281" s="97"/>
      <c r="I281" s="98"/>
    </row>
    <row r="282" customFormat="false" ht="24" hidden="false" customHeight="true" outlineLevel="0" collapsed="false">
      <c r="B282" s="100"/>
      <c r="C282" s="97"/>
      <c r="D282" s="98"/>
      <c r="E282" s="98"/>
      <c r="F282" s="98"/>
      <c r="G282" s="97"/>
      <c r="H282" s="97"/>
      <c r="I282" s="98"/>
    </row>
    <row r="283" customFormat="false" ht="24" hidden="false" customHeight="true" outlineLevel="0" collapsed="false">
      <c r="B283" s="100"/>
      <c r="C283" s="97"/>
      <c r="D283" s="98"/>
      <c r="E283" s="98"/>
      <c r="F283" s="98"/>
      <c r="G283" s="97"/>
      <c r="H283" s="97"/>
      <c r="I283" s="98"/>
    </row>
    <row r="284" customFormat="false" ht="24" hidden="false" customHeight="true" outlineLevel="0" collapsed="false">
      <c r="B284" s="100"/>
      <c r="C284" s="97"/>
      <c r="D284" s="98"/>
      <c r="E284" s="98"/>
      <c r="F284" s="98"/>
      <c r="G284" s="97"/>
      <c r="H284" s="97"/>
      <c r="I284" s="98"/>
    </row>
    <row r="285" customFormat="false" ht="24" hidden="false" customHeight="true" outlineLevel="0" collapsed="false">
      <c r="B285" s="100"/>
      <c r="C285" s="97"/>
      <c r="D285" s="98"/>
      <c r="E285" s="98"/>
      <c r="F285" s="98"/>
      <c r="G285" s="97"/>
      <c r="H285" s="97"/>
      <c r="I285" s="98"/>
    </row>
    <row r="286" customFormat="false" ht="24" hidden="false" customHeight="true" outlineLevel="0" collapsed="false">
      <c r="B286" s="100"/>
      <c r="C286" s="97"/>
      <c r="D286" s="98"/>
      <c r="E286" s="98"/>
      <c r="F286" s="98"/>
      <c r="G286" s="97"/>
      <c r="H286" s="97"/>
      <c r="I286" s="98"/>
    </row>
    <row r="287" customFormat="false" ht="24" hidden="false" customHeight="true" outlineLevel="0" collapsed="false">
      <c r="B287" s="100"/>
      <c r="C287" s="97"/>
      <c r="D287" s="98"/>
      <c r="E287" s="98"/>
      <c r="F287" s="98"/>
      <c r="G287" s="97"/>
      <c r="H287" s="97"/>
      <c r="I287" s="98"/>
    </row>
    <row r="288" customFormat="false" ht="24" hidden="false" customHeight="true" outlineLevel="0" collapsed="false">
      <c r="B288" s="100"/>
      <c r="C288" s="97"/>
      <c r="D288" s="98"/>
      <c r="E288" s="98"/>
      <c r="F288" s="98"/>
      <c r="G288" s="97"/>
      <c r="H288" s="97"/>
      <c r="I288" s="98"/>
    </row>
    <row r="289" customFormat="false" ht="24" hidden="false" customHeight="true" outlineLevel="0" collapsed="false">
      <c r="B289" s="100"/>
      <c r="C289" s="97"/>
      <c r="D289" s="98"/>
      <c r="E289" s="98"/>
      <c r="F289" s="98"/>
      <c r="G289" s="97"/>
      <c r="H289" s="97"/>
      <c r="I289" s="98"/>
    </row>
    <row r="290" customFormat="false" ht="24" hidden="false" customHeight="true" outlineLevel="0" collapsed="false">
      <c r="B290" s="100"/>
      <c r="C290" s="97"/>
      <c r="D290" s="98"/>
      <c r="E290" s="98"/>
      <c r="F290" s="98"/>
      <c r="G290" s="97"/>
      <c r="H290" s="97"/>
      <c r="I290" s="98"/>
    </row>
    <row r="291" customFormat="false" ht="24" hidden="false" customHeight="true" outlineLevel="0" collapsed="false">
      <c r="B291" s="100"/>
      <c r="C291" s="97"/>
      <c r="D291" s="98"/>
      <c r="E291" s="98"/>
      <c r="F291" s="98"/>
      <c r="G291" s="97"/>
      <c r="H291" s="97"/>
      <c r="I291" s="98"/>
    </row>
    <row r="292" customFormat="false" ht="24" hidden="false" customHeight="true" outlineLevel="0" collapsed="false">
      <c r="B292" s="100"/>
      <c r="C292" s="97"/>
      <c r="D292" s="98"/>
      <c r="E292" s="98"/>
      <c r="F292" s="98"/>
      <c r="G292" s="97"/>
      <c r="H292" s="97"/>
      <c r="I292" s="98"/>
    </row>
    <row r="293" customFormat="false" ht="24" hidden="false" customHeight="true" outlineLevel="0" collapsed="false">
      <c r="B293" s="100"/>
      <c r="C293" s="97"/>
      <c r="D293" s="98"/>
      <c r="E293" s="98"/>
      <c r="F293" s="98"/>
      <c r="G293" s="97"/>
      <c r="H293" s="97"/>
      <c r="I293" s="98"/>
    </row>
    <row r="294" customFormat="false" ht="24" hidden="false" customHeight="true" outlineLevel="0" collapsed="false">
      <c r="B294" s="100"/>
      <c r="C294" s="97"/>
      <c r="D294" s="98"/>
      <c r="E294" s="98"/>
      <c r="F294" s="98"/>
      <c r="G294" s="97"/>
      <c r="H294" s="97"/>
      <c r="I294" s="98"/>
    </row>
    <row r="295" customFormat="false" ht="24" hidden="false" customHeight="true" outlineLevel="0" collapsed="false">
      <c r="B295" s="100"/>
      <c r="C295" s="97"/>
      <c r="D295" s="98"/>
      <c r="E295" s="98"/>
      <c r="F295" s="98"/>
      <c r="G295" s="97"/>
      <c r="H295" s="97"/>
      <c r="I295" s="98"/>
    </row>
    <row r="296" customFormat="false" ht="24" hidden="false" customHeight="true" outlineLevel="0" collapsed="false">
      <c r="B296" s="100"/>
      <c r="C296" s="97"/>
      <c r="D296" s="98"/>
      <c r="E296" s="98"/>
      <c r="F296" s="98"/>
      <c r="G296" s="97"/>
      <c r="H296" s="97"/>
      <c r="I296" s="98"/>
    </row>
    <row r="297" customFormat="false" ht="24" hidden="false" customHeight="true" outlineLevel="0" collapsed="false">
      <c r="B297" s="100"/>
      <c r="C297" s="97"/>
      <c r="D297" s="98"/>
      <c r="E297" s="98"/>
      <c r="F297" s="98"/>
      <c r="G297" s="97"/>
      <c r="H297" s="97"/>
      <c r="I297" s="98"/>
    </row>
    <row r="298" customFormat="false" ht="24" hidden="false" customHeight="true" outlineLevel="0" collapsed="false">
      <c r="B298" s="100"/>
      <c r="C298" s="97"/>
      <c r="D298" s="98"/>
      <c r="E298" s="98"/>
      <c r="F298" s="98"/>
      <c r="G298" s="97"/>
      <c r="H298" s="97"/>
      <c r="I298" s="98"/>
    </row>
    <row r="299" customFormat="false" ht="24" hidden="false" customHeight="true" outlineLevel="0" collapsed="false">
      <c r="B299" s="100"/>
      <c r="C299" s="97"/>
      <c r="D299" s="98"/>
      <c r="E299" s="98"/>
      <c r="F299" s="98"/>
      <c r="G299" s="97"/>
      <c r="H299" s="97"/>
      <c r="I299" s="98"/>
    </row>
    <row r="300" customFormat="false" ht="24" hidden="false" customHeight="true" outlineLevel="0" collapsed="false">
      <c r="B300" s="100"/>
      <c r="C300" s="97"/>
      <c r="D300" s="98"/>
      <c r="E300" s="98"/>
      <c r="F300" s="98"/>
      <c r="G300" s="97"/>
      <c r="H300" s="97"/>
      <c r="I300" s="98"/>
    </row>
    <row r="301" customFormat="false" ht="24" hidden="false" customHeight="true" outlineLevel="0" collapsed="false">
      <c r="B301" s="100"/>
      <c r="C301" s="97"/>
      <c r="D301" s="98"/>
      <c r="E301" s="98"/>
      <c r="F301" s="98"/>
      <c r="G301" s="97"/>
      <c r="H301" s="97"/>
      <c r="I301" s="98"/>
    </row>
    <row r="302" customFormat="false" ht="24" hidden="false" customHeight="true" outlineLevel="0" collapsed="false">
      <c r="B302" s="100"/>
      <c r="C302" s="97"/>
      <c r="D302" s="98"/>
      <c r="E302" s="98"/>
      <c r="F302" s="98"/>
      <c r="G302" s="97"/>
      <c r="H302" s="97"/>
      <c r="I302" s="98"/>
    </row>
    <row r="303" customFormat="false" ht="24" hidden="false" customHeight="true" outlineLevel="0" collapsed="false">
      <c r="B303" s="100"/>
      <c r="C303" s="97"/>
      <c r="D303" s="98"/>
      <c r="E303" s="98"/>
      <c r="F303" s="98"/>
      <c r="G303" s="97"/>
      <c r="H303" s="97"/>
      <c r="I303" s="98"/>
    </row>
    <row r="304" customFormat="false" ht="24" hidden="false" customHeight="true" outlineLevel="0" collapsed="false">
      <c r="B304" s="100"/>
      <c r="C304" s="97"/>
      <c r="D304" s="98"/>
      <c r="E304" s="98"/>
      <c r="F304" s="98"/>
      <c r="G304" s="97"/>
      <c r="H304" s="97"/>
      <c r="I304" s="98"/>
    </row>
    <row r="306" customFormat="false" ht="13.5" hidden="false" customHeight="true" outlineLevel="0" collapsed="false">
      <c r="A306" s="1"/>
      <c r="B306" s="105" t="s">
        <v>125</v>
      </c>
      <c r="C306" s="105"/>
      <c r="D306" s="105"/>
      <c r="E306" s="105"/>
      <c r="F306" s="105"/>
      <c r="G306" s="105"/>
      <c r="H306" s="105"/>
      <c r="I306" s="105"/>
    </row>
  </sheetData>
  <autoFilter ref="B4:I4"/>
  <mergeCells count="3">
    <mergeCell ref="B2:D2"/>
    <mergeCell ref="E2:G2"/>
    <mergeCell ref="B306:I3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26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1"/>
      <c r="B2" s="2" t="s">
        <v>126</v>
      </c>
      <c r="C2" s="2"/>
      <c r="D2" s="2"/>
      <c r="E2" s="1"/>
      <c r="F2" s="106" t="n">
        <f aca="true">TODAY()</f>
        <v>46144</v>
      </c>
      <c r="G2" s="106"/>
      <c r="H2" s="1"/>
    </row>
    <row r="3" customFormat="false" ht="7.5" hidden="false" customHeight="true" outlineLevel="0" collapsed="false"/>
    <row r="4" customFormat="false" ht="25.5" hidden="false" customHeight="true" outlineLevel="0" collapsed="false">
      <c r="B4" s="107" t="s">
        <v>127</v>
      </c>
      <c r="C4" s="107"/>
      <c r="D4" s="107"/>
      <c r="E4" s="107"/>
      <c r="F4" s="107"/>
      <c r="G4" s="107"/>
    </row>
    <row r="5" customFormat="false" ht="24" hidden="false" customHeight="true" outlineLevel="0" collapsed="false">
      <c r="B5" s="36" t="s">
        <v>128</v>
      </c>
      <c r="C5" s="108" t="n">
        <f aca="false">COUNTA(Iniciativas!B5:B104)</f>
        <v>5</v>
      </c>
    </row>
    <row r="6" customFormat="false" ht="24" hidden="false" customHeight="true" outlineLevel="0" collapsed="false">
      <c r="B6" s="36" t="s">
        <v>129</v>
      </c>
      <c r="C6" s="108" t="n">
        <f aca="false">COUNTIF(Iniciativas!E5:E104,"En marcha")</f>
        <v>2</v>
      </c>
    </row>
    <row r="7" customFormat="false" ht="24" hidden="false" customHeight="true" outlineLevel="0" collapsed="false">
      <c r="B7" s="36" t="s">
        <v>130</v>
      </c>
      <c r="C7" s="108" t="n">
        <f aca="false">COUNTIF(Iniciativas!E5:E104,"En riesgo")</f>
        <v>1</v>
      </c>
    </row>
    <row r="8" customFormat="false" ht="24" hidden="false" customHeight="true" outlineLevel="0" collapsed="false">
      <c r="B8" s="36" t="s">
        <v>131</v>
      </c>
      <c r="C8" s="108" t="n">
        <f aca="false">COUNTIF(Iniciativas!E5:E104,"Retrasada")</f>
        <v>1</v>
      </c>
    </row>
    <row r="9" customFormat="false" ht="24" hidden="false" customHeight="true" outlineLevel="0" collapsed="false">
      <c r="B9" s="36" t="s">
        <v>132</v>
      </c>
      <c r="C9" s="108" t="n">
        <f aca="false">COUNTIF(Iniciativas!E5:E104,"Completada")</f>
        <v>0</v>
      </c>
    </row>
    <row r="10" customFormat="false" ht="24" hidden="false" customHeight="true" outlineLevel="0" collapsed="false">
      <c r="B10" s="36" t="s">
        <v>133</v>
      </c>
      <c r="C10" s="109" t="n">
        <f aca="false">IFERROR(AVERAGEIF(Iniciativas!E5:E104,"&lt;&gt;Completada",Iniciativas!F5:F104)/100,0)</f>
        <v>0.0028</v>
      </c>
    </row>
    <row r="11" customFormat="false" ht="24" hidden="false" customHeight="true" outlineLevel="0" collapsed="false">
      <c r="B11" s="36" t="s">
        <v>134</v>
      </c>
      <c r="C11" s="110" t="n">
        <f aca="false">IFERROR(COUNTIF(Iniciativas!E5:E104,"En marcha")/(COUNTIF(Iniciativas!E5:E104,"En marcha")+COUNTIF(Iniciativas!E5:E104,"En riesgo")+COUNTIF(Iniciativas!E5:E104,"Retrasada")+COUNTIF(Iniciativas!E5:E104,"En pausa")),0)</f>
        <v>0.4</v>
      </c>
    </row>
    <row r="12" customFormat="false" ht="7.5" hidden="false" customHeight="true" outlineLevel="0" collapsed="false"/>
    <row r="13" customFormat="false" ht="25.5" hidden="false" customHeight="true" outlineLevel="0" collapsed="false">
      <c r="B13" s="107" t="s">
        <v>135</v>
      </c>
      <c r="C13" s="107"/>
      <c r="D13" s="107"/>
      <c r="E13" s="107"/>
      <c r="F13" s="107"/>
      <c r="G13" s="107"/>
    </row>
    <row r="14" customFormat="false" ht="25.5" hidden="false" customHeight="true" outlineLevel="0" collapsed="false">
      <c r="B14" s="56" t="s">
        <v>136</v>
      </c>
      <c r="C14" s="56" t="s">
        <v>107</v>
      </c>
      <c r="D14" s="56" t="s">
        <v>62</v>
      </c>
      <c r="E14" s="56" t="s">
        <v>137</v>
      </c>
      <c r="F14" s="56" t="s">
        <v>64</v>
      </c>
      <c r="G14" s="56" t="s">
        <v>138</v>
      </c>
    </row>
    <row r="15" customFormat="false" ht="24" hidden="false" customHeight="true" outlineLevel="0" collapsed="false">
      <c r="B15" s="111" t="str">
        <f aca="false">IFERROR(INDEX(Iniciativas!B$5:B$104,aggregate(15,6,(ROW(Iniciativas!B$5:B$104)-ROW(Iniciativas!B$5)+1)*(Iniciativas!E$5:E$104&lt;&gt;"Completada"),1)),"—")</f>
        <v>—</v>
      </c>
      <c r="C15" s="37" t="str">
        <f aca="false">IFERROR(INDEX(Iniciativas!C$5:C$104,aggregate(15,6,(ROW(Iniciativas!B$5:B$104)-ROW(Iniciativas!B$5)+1)*(Iniciativas!E$5:E$104&lt;&gt;"Completada"),1)),"—")</f>
        <v>—</v>
      </c>
      <c r="D15" s="112" t="str">
        <f aca="false">IFERROR(INDEX(Iniciativas!E$5:E$104,aggregate(15,6,(ROW(Iniciativas!B$5:B$104)-ROW(Iniciativas!B$5)+1)*(Iniciativas!E$5:E$104&lt;&gt;"Completada"),1)),"—")</f>
        <v>—</v>
      </c>
      <c r="E15" s="39" t="str">
        <f aca="false">IFERROR(INDEX(Iniciativas!F$5:F$104,aggregate(15,6,(ROW(Iniciativas!B$5:B$104)-ROW(Iniciativas!B$5)+1)*(Iniciativas!E$5:E$104&lt;&gt;"Completada"),1))/100,"—")</f>
        <v>—</v>
      </c>
      <c r="F15" s="40" t="str">
        <f aca="false">IFERROR(INDEX(Iniciativas!G$5:G$104,aggregate(15,6,(ROW(Iniciativas!B$5:B$104)-ROW(Iniciativas!B$5)+1)*(Iniciativas!E$5:E$104&lt;&gt;"Completada"),1)),"—")</f>
        <v>—</v>
      </c>
      <c r="G15" s="41" t="str">
        <f aca="false">IFERROR(INDEX(Iniciativas!J$5:J$104,aggregate(15,6,(ROW(Iniciativas!B$5:B$104)-ROW(Iniciativas!B$5)+1)*(Iniciativas!E$5:E$104&lt;&gt;"Completada"),1)),"—")</f>
        <v>—</v>
      </c>
    </row>
    <row r="16" customFormat="false" ht="24" hidden="false" customHeight="true" outlineLevel="0" collapsed="false">
      <c r="B16" s="111" t="str">
        <f aca="false">IFERROR(INDEX(Iniciativas!B$5:B$104,aggregate(15,6,(ROW(Iniciativas!B$5:B$104)-ROW(Iniciativas!B$5)+1)*(Iniciativas!E$5:E$104&lt;&gt;"Completada"),2)),"—")</f>
        <v>—</v>
      </c>
      <c r="C16" s="37" t="str">
        <f aca="false">IFERROR(INDEX(Iniciativas!C$5:C$104,aggregate(15,6,(ROW(Iniciativas!B$5:B$104)-ROW(Iniciativas!B$5)+1)*(Iniciativas!E$5:E$104&lt;&gt;"Completada"),2)),"—")</f>
        <v>—</v>
      </c>
      <c r="D16" s="112" t="str">
        <f aca="false">IFERROR(INDEX(Iniciativas!E$5:E$104,aggregate(15,6,(ROW(Iniciativas!B$5:B$104)-ROW(Iniciativas!B$5)+1)*(Iniciativas!E$5:E$104&lt;&gt;"Completada"),2)),"—")</f>
        <v>—</v>
      </c>
      <c r="E16" s="39" t="str">
        <f aca="false">IFERROR(INDEX(Iniciativas!F$5:F$104,aggregate(15,6,(ROW(Iniciativas!B$5:B$104)-ROW(Iniciativas!B$5)+1)*(Iniciativas!E$5:E$104&lt;&gt;"Completada"),2))/100,"—")</f>
        <v>—</v>
      </c>
      <c r="F16" s="40" t="str">
        <f aca="false">IFERROR(INDEX(Iniciativas!G$5:G$104,aggregate(15,6,(ROW(Iniciativas!B$5:B$104)-ROW(Iniciativas!B$5)+1)*(Iniciativas!E$5:E$104&lt;&gt;"Completada"),2)),"—")</f>
        <v>—</v>
      </c>
      <c r="G16" s="41" t="str">
        <f aca="false">IFERROR(INDEX(Iniciativas!J$5:J$104,aggregate(15,6,(ROW(Iniciativas!B$5:B$104)-ROW(Iniciativas!B$5)+1)*(Iniciativas!E$5:E$104&lt;&gt;"Completada"),2)),"—")</f>
        <v>—</v>
      </c>
    </row>
    <row r="17" customFormat="false" ht="24" hidden="false" customHeight="true" outlineLevel="0" collapsed="false">
      <c r="B17" s="111" t="str">
        <f aca="false">IFERROR(INDEX(Iniciativas!B$5:B$104,aggregate(15,6,(ROW(Iniciativas!B$5:B$104)-ROW(Iniciativas!B$5)+1)*(Iniciativas!E$5:E$104&lt;&gt;"Completada"),3)),"—")</f>
        <v>—</v>
      </c>
      <c r="C17" s="37" t="str">
        <f aca="false">IFERROR(INDEX(Iniciativas!C$5:C$104,aggregate(15,6,(ROW(Iniciativas!B$5:B$104)-ROW(Iniciativas!B$5)+1)*(Iniciativas!E$5:E$104&lt;&gt;"Completada"),3)),"—")</f>
        <v>—</v>
      </c>
      <c r="D17" s="112" t="str">
        <f aca="false">IFERROR(INDEX(Iniciativas!E$5:E$104,aggregate(15,6,(ROW(Iniciativas!B$5:B$104)-ROW(Iniciativas!B$5)+1)*(Iniciativas!E$5:E$104&lt;&gt;"Completada"),3)),"—")</f>
        <v>—</v>
      </c>
      <c r="E17" s="39" t="str">
        <f aca="false">IFERROR(INDEX(Iniciativas!F$5:F$104,aggregate(15,6,(ROW(Iniciativas!B$5:B$104)-ROW(Iniciativas!B$5)+1)*(Iniciativas!E$5:E$104&lt;&gt;"Completada"),3))/100,"—")</f>
        <v>—</v>
      </c>
      <c r="F17" s="40" t="str">
        <f aca="false">IFERROR(INDEX(Iniciativas!G$5:G$104,aggregate(15,6,(ROW(Iniciativas!B$5:B$104)-ROW(Iniciativas!B$5)+1)*(Iniciativas!E$5:E$104&lt;&gt;"Completada"),3)),"—")</f>
        <v>—</v>
      </c>
      <c r="G17" s="41" t="str">
        <f aca="false">IFERROR(INDEX(Iniciativas!J$5:J$104,aggregate(15,6,(ROW(Iniciativas!B$5:B$104)-ROW(Iniciativas!B$5)+1)*(Iniciativas!E$5:E$104&lt;&gt;"Completada"),3)),"—")</f>
        <v>—</v>
      </c>
    </row>
    <row r="18" customFormat="false" ht="24" hidden="false" customHeight="true" outlineLevel="0" collapsed="false">
      <c r="B18" s="111" t="str">
        <f aca="false">IFERROR(INDEX(Iniciativas!B$5:B$104,aggregate(15,6,(ROW(Iniciativas!B$5:B$104)-ROW(Iniciativas!B$5)+1)*(Iniciativas!E$5:E$104&lt;&gt;"Completada"),4)),"—")</f>
        <v>—</v>
      </c>
      <c r="C18" s="37" t="str">
        <f aca="false">IFERROR(INDEX(Iniciativas!C$5:C$104,aggregate(15,6,(ROW(Iniciativas!B$5:B$104)-ROW(Iniciativas!B$5)+1)*(Iniciativas!E$5:E$104&lt;&gt;"Completada"),4)),"—")</f>
        <v>—</v>
      </c>
      <c r="D18" s="112" t="str">
        <f aca="false">IFERROR(INDEX(Iniciativas!E$5:E$104,aggregate(15,6,(ROW(Iniciativas!B$5:B$104)-ROW(Iniciativas!B$5)+1)*(Iniciativas!E$5:E$104&lt;&gt;"Completada"),4)),"—")</f>
        <v>—</v>
      </c>
      <c r="E18" s="39" t="str">
        <f aca="false">IFERROR(INDEX(Iniciativas!F$5:F$104,aggregate(15,6,(ROW(Iniciativas!B$5:B$104)-ROW(Iniciativas!B$5)+1)*(Iniciativas!E$5:E$104&lt;&gt;"Completada"),4))/100,"—")</f>
        <v>—</v>
      </c>
      <c r="F18" s="40" t="str">
        <f aca="false">IFERROR(INDEX(Iniciativas!G$5:G$104,aggregate(15,6,(ROW(Iniciativas!B$5:B$104)-ROW(Iniciativas!B$5)+1)*(Iniciativas!E$5:E$104&lt;&gt;"Completada"),4)),"—")</f>
        <v>—</v>
      </c>
      <c r="G18" s="41" t="str">
        <f aca="false">IFERROR(INDEX(Iniciativas!J$5:J$104,aggregate(15,6,(ROW(Iniciativas!B$5:B$104)-ROW(Iniciativas!B$5)+1)*(Iniciativas!E$5:E$104&lt;&gt;"Completada"),4)),"—")</f>
        <v>—</v>
      </c>
    </row>
    <row r="19" customFormat="false" ht="24" hidden="false" customHeight="true" outlineLevel="0" collapsed="false">
      <c r="B19" s="111" t="str">
        <f aca="false">IFERROR(INDEX(Iniciativas!B$5:B$104,aggregate(15,6,(ROW(Iniciativas!B$5:B$104)-ROW(Iniciativas!B$5)+1)*(Iniciativas!E$5:E$104&lt;&gt;"Completada"),5)),"—")</f>
        <v>—</v>
      </c>
      <c r="C19" s="37" t="str">
        <f aca="false">IFERROR(INDEX(Iniciativas!C$5:C$104,aggregate(15,6,(ROW(Iniciativas!B$5:B$104)-ROW(Iniciativas!B$5)+1)*(Iniciativas!E$5:E$104&lt;&gt;"Completada"),5)),"—")</f>
        <v>—</v>
      </c>
      <c r="D19" s="112" t="str">
        <f aca="false">IFERROR(INDEX(Iniciativas!E$5:E$104,aggregate(15,6,(ROW(Iniciativas!B$5:B$104)-ROW(Iniciativas!B$5)+1)*(Iniciativas!E$5:E$104&lt;&gt;"Completada"),5)),"—")</f>
        <v>—</v>
      </c>
      <c r="E19" s="39" t="str">
        <f aca="false">IFERROR(INDEX(Iniciativas!F$5:F$104,aggregate(15,6,(ROW(Iniciativas!B$5:B$104)-ROW(Iniciativas!B$5)+1)*(Iniciativas!E$5:E$104&lt;&gt;"Completada"),5))/100,"—")</f>
        <v>—</v>
      </c>
      <c r="F19" s="40" t="str">
        <f aca="false">IFERROR(INDEX(Iniciativas!G$5:G$104,aggregate(15,6,(ROW(Iniciativas!B$5:B$104)-ROW(Iniciativas!B$5)+1)*(Iniciativas!E$5:E$104&lt;&gt;"Completada"),5)),"—")</f>
        <v>—</v>
      </c>
      <c r="G19" s="41" t="str">
        <f aca="false">IFERROR(INDEX(Iniciativas!J$5:J$104,aggregate(15,6,(ROW(Iniciativas!B$5:B$104)-ROW(Iniciativas!B$5)+1)*(Iniciativas!E$5:E$104&lt;&gt;"Completada"),5)),"—")</f>
        <v>—</v>
      </c>
    </row>
    <row r="20" customFormat="false" ht="24" hidden="false" customHeight="true" outlineLevel="0" collapsed="false">
      <c r="B20" s="111" t="str">
        <f aca="false">IFERROR(INDEX(Iniciativas!B$5:B$104,aggregate(15,6,(ROW(Iniciativas!B$5:B$104)-ROW(Iniciativas!B$5)+1)*(Iniciativas!E$5:E$104&lt;&gt;"Completada"),6)),"—")</f>
        <v>—</v>
      </c>
      <c r="C20" s="37" t="str">
        <f aca="false">IFERROR(INDEX(Iniciativas!C$5:C$104,aggregate(15,6,(ROW(Iniciativas!B$5:B$104)-ROW(Iniciativas!B$5)+1)*(Iniciativas!E$5:E$104&lt;&gt;"Completada"),6)),"—")</f>
        <v>—</v>
      </c>
      <c r="D20" s="112" t="str">
        <f aca="false">IFERROR(INDEX(Iniciativas!E$5:E$104,aggregate(15,6,(ROW(Iniciativas!B$5:B$104)-ROW(Iniciativas!B$5)+1)*(Iniciativas!E$5:E$104&lt;&gt;"Completada"),6)),"—")</f>
        <v>—</v>
      </c>
      <c r="E20" s="39" t="str">
        <f aca="false">IFERROR(INDEX(Iniciativas!F$5:F$104,aggregate(15,6,(ROW(Iniciativas!B$5:B$104)-ROW(Iniciativas!B$5)+1)*(Iniciativas!E$5:E$104&lt;&gt;"Completada"),6))/100,"—")</f>
        <v>—</v>
      </c>
      <c r="F20" s="40" t="str">
        <f aca="false">IFERROR(INDEX(Iniciativas!G$5:G$104,aggregate(15,6,(ROW(Iniciativas!B$5:B$104)-ROW(Iniciativas!B$5)+1)*(Iniciativas!E$5:E$104&lt;&gt;"Completada"),6)),"—")</f>
        <v>—</v>
      </c>
      <c r="G20" s="41" t="str">
        <f aca="false">IFERROR(INDEX(Iniciativas!J$5:J$104,aggregate(15,6,(ROW(Iniciativas!B$5:B$104)-ROW(Iniciativas!B$5)+1)*(Iniciativas!E$5:E$104&lt;&gt;"Completada"),6)),"—")</f>
        <v>—</v>
      </c>
    </row>
    <row r="21" customFormat="false" ht="24" hidden="false" customHeight="true" outlineLevel="0" collapsed="false">
      <c r="B21" s="111" t="str">
        <f aca="false">IFERROR(INDEX(Iniciativas!B$5:B$104,aggregate(15,6,(ROW(Iniciativas!B$5:B$104)-ROW(Iniciativas!B$5)+1)*(Iniciativas!E$5:E$104&lt;&gt;"Completada"),7)),"—")</f>
        <v>—</v>
      </c>
      <c r="C21" s="37" t="str">
        <f aca="false">IFERROR(INDEX(Iniciativas!C$5:C$104,aggregate(15,6,(ROW(Iniciativas!B$5:B$104)-ROW(Iniciativas!B$5)+1)*(Iniciativas!E$5:E$104&lt;&gt;"Completada"),7)),"—")</f>
        <v>—</v>
      </c>
      <c r="D21" s="112" t="str">
        <f aca="false">IFERROR(INDEX(Iniciativas!E$5:E$104,aggregate(15,6,(ROW(Iniciativas!B$5:B$104)-ROW(Iniciativas!B$5)+1)*(Iniciativas!E$5:E$104&lt;&gt;"Completada"),7)),"—")</f>
        <v>—</v>
      </c>
      <c r="E21" s="39" t="str">
        <f aca="false">IFERROR(INDEX(Iniciativas!F$5:F$104,aggregate(15,6,(ROW(Iniciativas!B$5:B$104)-ROW(Iniciativas!B$5)+1)*(Iniciativas!E$5:E$104&lt;&gt;"Completada"),7))/100,"—")</f>
        <v>—</v>
      </c>
      <c r="F21" s="40" t="str">
        <f aca="false">IFERROR(INDEX(Iniciativas!G$5:G$104,aggregate(15,6,(ROW(Iniciativas!B$5:B$104)-ROW(Iniciativas!B$5)+1)*(Iniciativas!E$5:E$104&lt;&gt;"Completada"),7)),"—")</f>
        <v>—</v>
      </c>
      <c r="G21" s="41" t="str">
        <f aca="false">IFERROR(INDEX(Iniciativas!J$5:J$104,aggregate(15,6,(ROW(Iniciativas!B$5:B$104)-ROW(Iniciativas!B$5)+1)*(Iniciativas!E$5:E$104&lt;&gt;"Completada"),7)),"—")</f>
        <v>—</v>
      </c>
    </row>
    <row r="22" customFormat="false" ht="24" hidden="false" customHeight="true" outlineLevel="0" collapsed="false">
      <c r="B22" s="111" t="str">
        <f aca="false">IFERROR(INDEX(Iniciativas!B$5:B$104,aggregate(15,6,(ROW(Iniciativas!B$5:B$104)-ROW(Iniciativas!B$5)+1)*(Iniciativas!E$5:E$104&lt;&gt;"Completada"),8)),"—")</f>
        <v>—</v>
      </c>
      <c r="C22" s="37" t="str">
        <f aca="false">IFERROR(INDEX(Iniciativas!C$5:C$104,aggregate(15,6,(ROW(Iniciativas!B$5:B$104)-ROW(Iniciativas!B$5)+1)*(Iniciativas!E$5:E$104&lt;&gt;"Completada"),8)),"—")</f>
        <v>—</v>
      </c>
      <c r="D22" s="112" t="str">
        <f aca="false">IFERROR(INDEX(Iniciativas!E$5:E$104,aggregate(15,6,(ROW(Iniciativas!B$5:B$104)-ROW(Iniciativas!B$5)+1)*(Iniciativas!E$5:E$104&lt;&gt;"Completada"),8)),"—")</f>
        <v>—</v>
      </c>
      <c r="E22" s="39" t="str">
        <f aca="false">IFERROR(INDEX(Iniciativas!F$5:F$104,aggregate(15,6,(ROW(Iniciativas!B$5:B$104)-ROW(Iniciativas!B$5)+1)*(Iniciativas!E$5:E$104&lt;&gt;"Completada"),8))/100,"—")</f>
        <v>—</v>
      </c>
      <c r="F22" s="40" t="str">
        <f aca="false">IFERROR(INDEX(Iniciativas!G$5:G$104,aggregate(15,6,(ROW(Iniciativas!B$5:B$104)-ROW(Iniciativas!B$5)+1)*(Iniciativas!E$5:E$104&lt;&gt;"Completada"),8)),"—")</f>
        <v>—</v>
      </c>
      <c r="G22" s="41" t="str">
        <f aca="false">IFERROR(INDEX(Iniciativas!J$5:J$104,aggregate(15,6,(ROW(Iniciativas!B$5:B$104)-ROW(Iniciativas!B$5)+1)*(Iniciativas!E$5:E$104&lt;&gt;"Completada"),8)),"—")</f>
        <v>—</v>
      </c>
    </row>
    <row r="23" customFormat="false" ht="24" hidden="false" customHeight="true" outlineLevel="0" collapsed="false">
      <c r="B23" s="111" t="str">
        <f aca="false">IFERROR(INDEX(Iniciativas!B$5:B$104,aggregate(15,6,(ROW(Iniciativas!B$5:B$104)-ROW(Iniciativas!B$5)+1)*(Iniciativas!E$5:E$104&lt;&gt;"Completada"),9)),"—")</f>
        <v>—</v>
      </c>
      <c r="C23" s="37" t="str">
        <f aca="false">IFERROR(INDEX(Iniciativas!C$5:C$104,aggregate(15,6,(ROW(Iniciativas!B$5:B$104)-ROW(Iniciativas!B$5)+1)*(Iniciativas!E$5:E$104&lt;&gt;"Completada"),9)),"—")</f>
        <v>—</v>
      </c>
      <c r="D23" s="112" t="str">
        <f aca="false">IFERROR(INDEX(Iniciativas!E$5:E$104,aggregate(15,6,(ROW(Iniciativas!B$5:B$104)-ROW(Iniciativas!B$5)+1)*(Iniciativas!E$5:E$104&lt;&gt;"Completada"),9)),"—")</f>
        <v>—</v>
      </c>
      <c r="E23" s="39" t="str">
        <f aca="false">IFERROR(INDEX(Iniciativas!F$5:F$104,aggregate(15,6,(ROW(Iniciativas!B$5:B$104)-ROW(Iniciativas!B$5)+1)*(Iniciativas!E$5:E$104&lt;&gt;"Completada"),9))/100,"—")</f>
        <v>—</v>
      </c>
      <c r="F23" s="40" t="str">
        <f aca="false">IFERROR(INDEX(Iniciativas!G$5:G$104,aggregate(15,6,(ROW(Iniciativas!B$5:B$104)-ROW(Iniciativas!B$5)+1)*(Iniciativas!E$5:E$104&lt;&gt;"Completada"),9)),"—")</f>
        <v>—</v>
      </c>
      <c r="G23" s="41" t="str">
        <f aca="false">IFERROR(INDEX(Iniciativas!J$5:J$104,aggregate(15,6,(ROW(Iniciativas!B$5:B$104)-ROW(Iniciativas!B$5)+1)*(Iniciativas!E$5:E$104&lt;&gt;"Completada"),9)),"—")</f>
        <v>—</v>
      </c>
    </row>
    <row r="24" customFormat="false" ht="24" hidden="false" customHeight="true" outlineLevel="0" collapsed="false">
      <c r="B24" s="111" t="str">
        <f aca="false">IFERROR(INDEX(Iniciativas!B$5:B$104,aggregate(15,6,(ROW(Iniciativas!B$5:B$104)-ROW(Iniciativas!B$5)+1)*(Iniciativas!E$5:E$104&lt;&gt;"Completada"),10)),"—")</f>
        <v>—</v>
      </c>
      <c r="C24" s="37" t="str">
        <f aca="false">IFERROR(INDEX(Iniciativas!C$5:C$104,aggregate(15,6,(ROW(Iniciativas!B$5:B$104)-ROW(Iniciativas!B$5)+1)*(Iniciativas!E$5:E$104&lt;&gt;"Completada"),10)),"—")</f>
        <v>—</v>
      </c>
      <c r="D24" s="112" t="str">
        <f aca="false">IFERROR(INDEX(Iniciativas!E$5:E$104,aggregate(15,6,(ROW(Iniciativas!B$5:B$104)-ROW(Iniciativas!B$5)+1)*(Iniciativas!E$5:E$104&lt;&gt;"Completada"),10)),"—")</f>
        <v>—</v>
      </c>
      <c r="E24" s="39" t="str">
        <f aca="false">IFERROR(INDEX(Iniciativas!F$5:F$104,aggregate(15,6,(ROW(Iniciativas!B$5:B$104)-ROW(Iniciativas!B$5)+1)*(Iniciativas!E$5:E$104&lt;&gt;"Completada"),10))/100,"—")</f>
        <v>—</v>
      </c>
      <c r="F24" s="40" t="str">
        <f aca="false">IFERROR(INDEX(Iniciativas!G$5:G$104,aggregate(15,6,(ROW(Iniciativas!B$5:B$104)-ROW(Iniciativas!B$5)+1)*(Iniciativas!E$5:E$104&lt;&gt;"Completada"),10)),"—")</f>
        <v>—</v>
      </c>
      <c r="G24" s="41" t="str">
        <f aca="false">IFERROR(INDEX(Iniciativas!J$5:J$104,aggregate(15,6,(ROW(Iniciativas!B$5:B$104)-ROW(Iniciativas!B$5)+1)*(Iniciativas!E$5:E$104&lt;&gt;"Completada"),10)),"—")</f>
        <v>—</v>
      </c>
    </row>
    <row r="25" customFormat="false" ht="24" hidden="false" customHeight="true" outlineLevel="0" collapsed="false">
      <c r="B25" s="111" t="str">
        <f aca="false">IFERROR(INDEX(Iniciativas!B$5:B$104,aggregate(15,6,(ROW(Iniciativas!B$5:B$104)-ROW(Iniciativas!B$5)+1)*(Iniciativas!E$5:E$104&lt;&gt;"Completada"),11)),"—")</f>
        <v>—</v>
      </c>
      <c r="C25" s="37" t="str">
        <f aca="false">IFERROR(INDEX(Iniciativas!C$5:C$104,aggregate(15,6,(ROW(Iniciativas!B$5:B$104)-ROW(Iniciativas!B$5)+1)*(Iniciativas!E$5:E$104&lt;&gt;"Completada"),11)),"—")</f>
        <v>—</v>
      </c>
      <c r="D25" s="112" t="str">
        <f aca="false">IFERROR(INDEX(Iniciativas!E$5:E$104,aggregate(15,6,(ROW(Iniciativas!B$5:B$104)-ROW(Iniciativas!B$5)+1)*(Iniciativas!E$5:E$104&lt;&gt;"Completada"),11)),"—")</f>
        <v>—</v>
      </c>
      <c r="E25" s="39" t="str">
        <f aca="false">IFERROR(INDEX(Iniciativas!F$5:F$104,aggregate(15,6,(ROW(Iniciativas!B$5:B$104)-ROW(Iniciativas!B$5)+1)*(Iniciativas!E$5:E$104&lt;&gt;"Completada"),11))/100,"—")</f>
        <v>—</v>
      </c>
      <c r="F25" s="40" t="str">
        <f aca="false">IFERROR(INDEX(Iniciativas!G$5:G$104,aggregate(15,6,(ROW(Iniciativas!B$5:B$104)-ROW(Iniciativas!B$5)+1)*(Iniciativas!E$5:E$104&lt;&gt;"Completada"),11)),"—")</f>
        <v>—</v>
      </c>
      <c r="G25" s="41" t="str">
        <f aca="false">IFERROR(INDEX(Iniciativas!J$5:J$104,aggregate(15,6,(ROW(Iniciativas!B$5:B$104)-ROW(Iniciativas!B$5)+1)*(Iniciativas!E$5:E$104&lt;&gt;"Completada"),11)),"—")</f>
        <v>—</v>
      </c>
    </row>
    <row r="26" customFormat="false" ht="24" hidden="false" customHeight="true" outlineLevel="0" collapsed="false">
      <c r="B26" s="111" t="str">
        <f aca="false">IFERROR(INDEX(Iniciativas!B$5:B$104,aggregate(15,6,(ROW(Iniciativas!B$5:B$104)-ROW(Iniciativas!B$5)+1)*(Iniciativas!E$5:E$104&lt;&gt;"Completada"),12)),"—")</f>
        <v>—</v>
      </c>
      <c r="C26" s="37" t="str">
        <f aca="false">IFERROR(INDEX(Iniciativas!C$5:C$104,aggregate(15,6,(ROW(Iniciativas!B$5:B$104)-ROW(Iniciativas!B$5)+1)*(Iniciativas!E$5:E$104&lt;&gt;"Completada"),12)),"—")</f>
        <v>—</v>
      </c>
      <c r="D26" s="112" t="str">
        <f aca="false">IFERROR(INDEX(Iniciativas!E$5:E$104,aggregate(15,6,(ROW(Iniciativas!B$5:B$104)-ROW(Iniciativas!B$5)+1)*(Iniciativas!E$5:E$104&lt;&gt;"Completada"),12)),"—")</f>
        <v>—</v>
      </c>
      <c r="E26" s="39" t="str">
        <f aca="false">IFERROR(INDEX(Iniciativas!F$5:F$104,aggregate(15,6,(ROW(Iniciativas!B$5:B$104)-ROW(Iniciativas!B$5)+1)*(Iniciativas!E$5:E$104&lt;&gt;"Completada"),12))/100,"—")</f>
        <v>—</v>
      </c>
      <c r="F26" s="40" t="str">
        <f aca="false">IFERROR(INDEX(Iniciativas!G$5:G$104,aggregate(15,6,(ROW(Iniciativas!B$5:B$104)-ROW(Iniciativas!B$5)+1)*(Iniciativas!E$5:E$104&lt;&gt;"Completada"),12)),"—")</f>
        <v>—</v>
      </c>
      <c r="G26" s="41" t="str">
        <f aca="false">IFERROR(INDEX(Iniciativas!J$5:J$104,aggregate(15,6,(ROW(Iniciativas!B$5:B$104)-ROW(Iniciativas!B$5)+1)*(Iniciativas!E$5:E$104&lt;&gt;"Completada"),12)),"—")</f>
        <v>—</v>
      </c>
    </row>
    <row r="27" customFormat="false" ht="24" hidden="false" customHeight="true" outlineLevel="0" collapsed="false">
      <c r="B27" s="111" t="str">
        <f aca="false">IFERROR(INDEX(Iniciativas!B$5:B$104,aggregate(15,6,(ROW(Iniciativas!B$5:B$104)-ROW(Iniciativas!B$5)+1)*(Iniciativas!E$5:E$104&lt;&gt;"Completada"),13)),"—")</f>
        <v>—</v>
      </c>
      <c r="C27" s="37" t="str">
        <f aca="false">IFERROR(INDEX(Iniciativas!C$5:C$104,aggregate(15,6,(ROW(Iniciativas!B$5:B$104)-ROW(Iniciativas!B$5)+1)*(Iniciativas!E$5:E$104&lt;&gt;"Completada"),13)),"—")</f>
        <v>—</v>
      </c>
      <c r="D27" s="112" t="str">
        <f aca="false">IFERROR(INDEX(Iniciativas!E$5:E$104,aggregate(15,6,(ROW(Iniciativas!B$5:B$104)-ROW(Iniciativas!B$5)+1)*(Iniciativas!E$5:E$104&lt;&gt;"Completada"),13)),"—")</f>
        <v>—</v>
      </c>
      <c r="E27" s="39" t="str">
        <f aca="false">IFERROR(INDEX(Iniciativas!F$5:F$104,aggregate(15,6,(ROW(Iniciativas!B$5:B$104)-ROW(Iniciativas!B$5)+1)*(Iniciativas!E$5:E$104&lt;&gt;"Completada"),13))/100,"—")</f>
        <v>—</v>
      </c>
      <c r="F27" s="40" t="str">
        <f aca="false">IFERROR(INDEX(Iniciativas!G$5:G$104,aggregate(15,6,(ROW(Iniciativas!B$5:B$104)-ROW(Iniciativas!B$5)+1)*(Iniciativas!E$5:E$104&lt;&gt;"Completada"),13)),"—")</f>
        <v>—</v>
      </c>
      <c r="G27" s="41" t="str">
        <f aca="false">IFERROR(INDEX(Iniciativas!J$5:J$104,aggregate(15,6,(ROW(Iniciativas!B$5:B$104)-ROW(Iniciativas!B$5)+1)*(Iniciativas!E$5:E$104&lt;&gt;"Completada"),13)),"—")</f>
        <v>—</v>
      </c>
    </row>
    <row r="28" customFormat="false" ht="24" hidden="false" customHeight="true" outlineLevel="0" collapsed="false">
      <c r="B28" s="111" t="str">
        <f aca="false">IFERROR(INDEX(Iniciativas!B$5:B$104,aggregate(15,6,(ROW(Iniciativas!B$5:B$104)-ROW(Iniciativas!B$5)+1)*(Iniciativas!E$5:E$104&lt;&gt;"Completada"),14)),"—")</f>
        <v>—</v>
      </c>
      <c r="C28" s="37" t="str">
        <f aca="false">IFERROR(INDEX(Iniciativas!C$5:C$104,aggregate(15,6,(ROW(Iniciativas!B$5:B$104)-ROW(Iniciativas!B$5)+1)*(Iniciativas!E$5:E$104&lt;&gt;"Completada"),14)),"—")</f>
        <v>—</v>
      </c>
      <c r="D28" s="112" t="str">
        <f aca="false">IFERROR(INDEX(Iniciativas!E$5:E$104,aggregate(15,6,(ROW(Iniciativas!B$5:B$104)-ROW(Iniciativas!B$5)+1)*(Iniciativas!E$5:E$104&lt;&gt;"Completada"),14)),"—")</f>
        <v>—</v>
      </c>
      <c r="E28" s="39" t="str">
        <f aca="false">IFERROR(INDEX(Iniciativas!F$5:F$104,aggregate(15,6,(ROW(Iniciativas!B$5:B$104)-ROW(Iniciativas!B$5)+1)*(Iniciativas!E$5:E$104&lt;&gt;"Completada"),14))/100,"—")</f>
        <v>—</v>
      </c>
      <c r="F28" s="40" t="str">
        <f aca="false">IFERROR(INDEX(Iniciativas!G$5:G$104,aggregate(15,6,(ROW(Iniciativas!B$5:B$104)-ROW(Iniciativas!B$5)+1)*(Iniciativas!E$5:E$104&lt;&gt;"Completada"),14)),"—")</f>
        <v>—</v>
      </c>
      <c r="G28" s="41" t="str">
        <f aca="false">IFERROR(INDEX(Iniciativas!J$5:J$104,aggregate(15,6,(ROW(Iniciativas!B$5:B$104)-ROW(Iniciativas!B$5)+1)*(Iniciativas!E$5:E$104&lt;&gt;"Completada"),14)),"—")</f>
        <v>—</v>
      </c>
    </row>
    <row r="29" customFormat="false" ht="24" hidden="false" customHeight="true" outlineLevel="0" collapsed="false">
      <c r="B29" s="111" t="str">
        <f aca="false">IFERROR(INDEX(Iniciativas!B$5:B$104,aggregate(15,6,(ROW(Iniciativas!B$5:B$104)-ROW(Iniciativas!B$5)+1)*(Iniciativas!E$5:E$104&lt;&gt;"Completada"),15)),"—")</f>
        <v>—</v>
      </c>
      <c r="C29" s="37" t="str">
        <f aca="false">IFERROR(INDEX(Iniciativas!C$5:C$104,aggregate(15,6,(ROW(Iniciativas!B$5:B$104)-ROW(Iniciativas!B$5)+1)*(Iniciativas!E$5:E$104&lt;&gt;"Completada"),15)),"—")</f>
        <v>—</v>
      </c>
      <c r="D29" s="112" t="str">
        <f aca="false">IFERROR(INDEX(Iniciativas!E$5:E$104,aggregate(15,6,(ROW(Iniciativas!B$5:B$104)-ROW(Iniciativas!B$5)+1)*(Iniciativas!E$5:E$104&lt;&gt;"Completada"),15)),"—")</f>
        <v>—</v>
      </c>
      <c r="E29" s="39" t="str">
        <f aca="false">IFERROR(INDEX(Iniciativas!F$5:F$104,aggregate(15,6,(ROW(Iniciativas!B$5:B$104)-ROW(Iniciativas!B$5)+1)*(Iniciativas!E$5:E$104&lt;&gt;"Completada"),15))/100,"—")</f>
        <v>—</v>
      </c>
      <c r="F29" s="40" t="str">
        <f aca="false">IFERROR(INDEX(Iniciativas!G$5:G$104,aggregate(15,6,(ROW(Iniciativas!B$5:B$104)-ROW(Iniciativas!B$5)+1)*(Iniciativas!E$5:E$104&lt;&gt;"Completada"),15)),"—")</f>
        <v>—</v>
      </c>
      <c r="G29" s="41" t="str">
        <f aca="false">IFERROR(INDEX(Iniciativas!J$5:J$104,aggregate(15,6,(ROW(Iniciativas!B$5:B$104)-ROW(Iniciativas!B$5)+1)*(Iniciativas!E$5:E$104&lt;&gt;"Completada"),15)),"—")</f>
        <v>—</v>
      </c>
    </row>
    <row r="30" customFormat="false" ht="24" hidden="false" customHeight="true" outlineLevel="0" collapsed="false">
      <c r="B30" s="111" t="str">
        <f aca="false">IFERROR(INDEX(Iniciativas!B$5:B$104,aggregate(15,6,(ROW(Iniciativas!B$5:B$104)-ROW(Iniciativas!B$5)+1)*(Iniciativas!E$5:E$104&lt;&gt;"Completada"),16)),"—")</f>
        <v>—</v>
      </c>
      <c r="C30" s="37" t="str">
        <f aca="false">IFERROR(INDEX(Iniciativas!C$5:C$104,aggregate(15,6,(ROW(Iniciativas!B$5:B$104)-ROW(Iniciativas!B$5)+1)*(Iniciativas!E$5:E$104&lt;&gt;"Completada"),16)),"—")</f>
        <v>—</v>
      </c>
      <c r="D30" s="112" t="str">
        <f aca="false">IFERROR(INDEX(Iniciativas!E$5:E$104,aggregate(15,6,(ROW(Iniciativas!B$5:B$104)-ROW(Iniciativas!B$5)+1)*(Iniciativas!E$5:E$104&lt;&gt;"Completada"),16)),"—")</f>
        <v>—</v>
      </c>
      <c r="E30" s="39" t="str">
        <f aca="false">IFERROR(INDEX(Iniciativas!F$5:F$104,aggregate(15,6,(ROW(Iniciativas!B$5:B$104)-ROW(Iniciativas!B$5)+1)*(Iniciativas!E$5:E$104&lt;&gt;"Completada"),16))/100,"—")</f>
        <v>—</v>
      </c>
      <c r="F30" s="40" t="str">
        <f aca="false">IFERROR(INDEX(Iniciativas!G$5:G$104,aggregate(15,6,(ROW(Iniciativas!B$5:B$104)-ROW(Iniciativas!B$5)+1)*(Iniciativas!E$5:E$104&lt;&gt;"Completada"),16)),"—")</f>
        <v>—</v>
      </c>
      <c r="G30" s="41" t="str">
        <f aca="false">IFERROR(INDEX(Iniciativas!J$5:J$104,aggregate(15,6,(ROW(Iniciativas!B$5:B$104)-ROW(Iniciativas!B$5)+1)*(Iniciativas!E$5:E$104&lt;&gt;"Completada"),16)),"—")</f>
        <v>—</v>
      </c>
    </row>
    <row r="31" customFormat="false" ht="24" hidden="false" customHeight="true" outlineLevel="0" collapsed="false">
      <c r="B31" s="111" t="str">
        <f aca="false">IFERROR(INDEX(Iniciativas!B$5:B$104,aggregate(15,6,(ROW(Iniciativas!B$5:B$104)-ROW(Iniciativas!B$5)+1)*(Iniciativas!E$5:E$104&lt;&gt;"Completada"),17)),"—")</f>
        <v>—</v>
      </c>
      <c r="C31" s="37" t="str">
        <f aca="false">IFERROR(INDEX(Iniciativas!C$5:C$104,aggregate(15,6,(ROW(Iniciativas!B$5:B$104)-ROW(Iniciativas!B$5)+1)*(Iniciativas!E$5:E$104&lt;&gt;"Completada"),17)),"—")</f>
        <v>—</v>
      </c>
      <c r="D31" s="112" t="str">
        <f aca="false">IFERROR(INDEX(Iniciativas!E$5:E$104,aggregate(15,6,(ROW(Iniciativas!B$5:B$104)-ROW(Iniciativas!B$5)+1)*(Iniciativas!E$5:E$104&lt;&gt;"Completada"),17)),"—")</f>
        <v>—</v>
      </c>
      <c r="E31" s="39" t="str">
        <f aca="false">IFERROR(INDEX(Iniciativas!F$5:F$104,aggregate(15,6,(ROW(Iniciativas!B$5:B$104)-ROW(Iniciativas!B$5)+1)*(Iniciativas!E$5:E$104&lt;&gt;"Completada"),17))/100,"—")</f>
        <v>—</v>
      </c>
      <c r="F31" s="40" t="str">
        <f aca="false">IFERROR(INDEX(Iniciativas!G$5:G$104,aggregate(15,6,(ROW(Iniciativas!B$5:B$104)-ROW(Iniciativas!B$5)+1)*(Iniciativas!E$5:E$104&lt;&gt;"Completada"),17)),"—")</f>
        <v>—</v>
      </c>
      <c r="G31" s="41" t="str">
        <f aca="false">IFERROR(INDEX(Iniciativas!J$5:J$104,aggregate(15,6,(ROW(Iniciativas!B$5:B$104)-ROW(Iniciativas!B$5)+1)*(Iniciativas!E$5:E$104&lt;&gt;"Completada"),17)),"—")</f>
        <v>—</v>
      </c>
    </row>
    <row r="32" customFormat="false" ht="24" hidden="false" customHeight="true" outlineLevel="0" collapsed="false">
      <c r="B32" s="111" t="str">
        <f aca="false">IFERROR(INDEX(Iniciativas!B$5:B$104,aggregate(15,6,(ROW(Iniciativas!B$5:B$104)-ROW(Iniciativas!B$5)+1)*(Iniciativas!E$5:E$104&lt;&gt;"Completada"),18)),"—")</f>
        <v>—</v>
      </c>
      <c r="C32" s="37" t="str">
        <f aca="false">IFERROR(INDEX(Iniciativas!C$5:C$104,aggregate(15,6,(ROW(Iniciativas!B$5:B$104)-ROW(Iniciativas!B$5)+1)*(Iniciativas!E$5:E$104&lt;&gt;"Completada"),18)),"—")</f>
        <v>—</v>
      </c>
      <c r="D32" s="112" t="str">
        <f aca="false">IFERROR(INDEX(Iniciativas!E$5:E$104,aggregate(15,6,(ROW(Iniciativas!B$5:B$104)-ROW(Iniciativas!B$5)+1)*(Iniciativas!E$5:E$104&lt;&gt;"Completada"),18)),"—")</f>
        <v>—</v>
      </c>
      <c r="E32" s="39" t="str">
        <f aca="false">IFERROR(INDEX(Iniciativas!F$5:F$104,aggregate(15,6,(ROW(Iniciativas!B$5:B$104)-ROW(Iniciativas!B$5)+1)*(Iniciativas!E$5:E$104&lt;&gt;"Completada"),18))/100,"—")</f>
        <v>—</v>
      </c>
      <c r="F32" s="40" t="str">
        <f aca="false">IFERROR(INDEX(Iniciativas!G$5:G$104,aggregate(15,6,(ROW(Iniciativas!B$5:B$104)-ROW(Iniciativas!B$5)+1)*(Iniciativas!E$5:E$104&lt;&gt;"Completada"),18)),"—")</f>
        <v>—</v>
      </c>
      <c r="G32" s="41" t="str">
        <f aca="false">IFERROR(INDEX(Iniciativas!J$5:J$104,aggregate(15,6,(ROW(Iniciativas!B$5:B$104)-ROW(Iniciativas!B$5)+1)*(Iniciativas!E$5:E$104&lt;&gt;"Completada"),18)),"—")</f>
        <v>—</v>
      </c>
    </row>
    <row r="33" customFormat="false" ht="24" hidden="false" customHeight="true" outlineLevel="0" collapsed="false">
      <c r="B33" s="111" t="str">
        <f aca="false">IFERROR(INDEX(Iniciativas!B$5:B$104,aggregate(15,6,(ROW(Iniciativas!B$5:B$104)-ROW(Iniciativas!B$5)+1)*(Iniciativas!E$5:E$104&lt;&gt;"Completada"),19)),"—")</f>
        <v>—</v>
      </c>
      <c r="C33" s="37" t="str">
        <f aca="false">IFERROR(INDEX(Iniciativas!C$5:C$104,aggregate(15,6,(ROW(Iniciativas!B$5:B$104)-ROW(Iniciativas!B$5)+1)*(Iniciativas!E$5:E$104&lt;&gt;"Completada"),19)),"—")</f>
        <v>—</v>
      </c>
      <c r="D33" s="112" t="str">
        <f aca="false">IFERROR(INDEX(Iniciativas!E$5:E$104,aggregate(15,6,(ROW(Iniciativas!B$5:B$104)-ROW(Iniciativas!B$5)+1)*(Iniciativas!E$5:E$104&lt;&gt;"Completada"),19)),"—")</f>
        <v>—</v>
      </c>
      <c r="E33" s="39" t="str">
        <f aca="false">IFERROR(INDEX(Iniciativas!F$5:F$104,aggregate(15,6,(ROW(Iniciativas!B$5:B$104)-ROW(Iniciativas!B$5)+1)*(Iniciativas!E$5:E$104&lt;&gt;"Completada"),19))/100,"—")</f>
        <v>—</v>
      </c>
      <c r="F33" s="40" t="str">
        <f aca="false">IFERROR(INDEX(Iniciativas!G$5:G$104,aggregate(15,6,(ROW(Iniciativas!B$5:B$104)-ROW(Iniciativas!B$5)+1)*(Iniciativas!E$5:E$104&lt;&gt;"Completada"),19)),"—")</f>
        <v>—</v>
      </c>
      <c r="G33" s="41" t="str">
        <f aca="false">IFERROR(INDEX(Iniciativas!J$5:J$104,aggregate(15,6,(ROW(Iniciativas!B$5:B$104)-ROW(Iniciativas!B$5)+1)*(Iniciativas!E$5:E$104&lt;&gt;"Completada"),19)),"—")</f>
        <v>—</v>
      </c>
    </row>
    <row r="34" customFormat="false" ht="24" hidden="false" customHeight="true" outlineLevel="0" collapsed="false">
      <c r="B34" s="111" t="str">
        <f aca="false">IFERROR(INDEX(Iniciativas!B$5:B$104,aggregate(15,6,(ROW(Iniciativas!B$5:B$104)-ROW(Iniciativas!B$5)+1)*(Iniciativas!E$5:E$104&lt;&gt;"Completada"),20)),"—")</f>
        <v>—</v>
      </c>
      <c r="C34" s="37" t="str">
        <f aca="false">IFERROR(INDEX(Iniciativas!C$5:C$104,aggregate(15,6,(ROW(Iniciativas!B$5:B$104)-ROW(Iniciativas!B$5)+1)*(Iniciativas!E$5:E$104&lt;&gt;"Completada"),20)),"—")</f>
        <v>—</v>
      </c>
      <c r="D34" s="112" t="str">
        <f aca="false">IFERROR(INDEX(Iniciativas!E$5:E$104,aggregate(15,6,(ROW(Iniciativas!B$5:B$104)-ROW(Iniciativas!B$5)+1)*(Iniciativas!E$5:E$104&lt;&gt;"Completada"),20)),"—")</f>
        <v>—</v>
      </c>
      <c r="E34" s="39" t="str">
        <f aca="false">IFERROR(INDEX(Iniciativas!F$5:F$104,aggregate(15,6,(ROW(Iniciativas!B$5:B$104)-ROW(Iniciativas!B$5)+1)*(Iniciativas!E$5:E$104&lt;&gt;"Completada"),20))/100,"—")</f>
        <v>—</v>
      </c>
      <c r="F34" s="40" t="str">
        <f aca="false">IFERROR(INDEX(Iniciativas!G$5:G$104,aggregate(15,6,(ROW(Iniciativas!B$5:B$104)-ROW(Iniciativas!B$5)+1)*(Iniciativas!E$5:E$104&lt;&gt;"Completada"),20)),"—")</f>
        <v>—</v>
      </c>
      <c r="G34" s="41" t="str">
        <f aca="false">IFERROR(INDEX(Iniciativas!J$5:J$104,aggregate(15,6,(ROW(Iniciativas!B$5:B$104)-ROW(Iniciativas!B$5)+1)*(Iniciativas!E$5:E$104&lt;&gt;"Completada"),20)),"—")</f>
        <v>—</v>
      </c>
    </row>
    <row r="35" customFormat="false" ht="24" hidden="false" customHeight="true" outlineLevel="0" collapsed="false">
      <c r="B35" s="111" t="str">
        <f aca="false">IFERROR(INDEX(Iniciativas!B$5:B$104,aggregate(15,6,(ROW(Iniciativas!B$5:B$104)-ROW(Iniciativas!B$5)+1)*(Iniciativas!E$5:E$104&lt;&gt;"Completada"),21)),"—")</f>
        <v>—</v>
      </c>
      <c r="C35" s="37" t="str">
        <f aca="false">IFERROR(INDEX(Iniciativas!C$5:C$104,aggregate(15,6,(ROW(Iniciativas!B$5:B$104)-ROW(Iniciativas!B$5)+1)*(Iniciativas!E$5:E$104&lt;&gt;"Completada"),21)),"—")</f>
        <v>—</v>
      </c>
      <c r="D35" s="112" t="str">
        <f aca="false">IFERROR(INDEX(Iniciativas!E$5:E$104,aggregate(15,6,(ROW(Iniciativas!B$5:B$104)-ROW(Iniciativas!B$5)+1)*(Iniciativas!E$5:E$104&lt;&gt;"Completada"),21)),"—")</f>
        <v>—</v>
      </c>
      <c r="E35" s="39" t="str">
        <f aca="false">IFERROR(INDEX(Iniciativas!F$5:F$104,aggregate(15,6,(ROW(Iniciativas!B$5:B$104)-ROW(Iniciativas!B$5)+1)*(Iniciativas!E$5:E$104&lt;&gt;"Completada"),21))/100,"—")</f>
        <v>—</v>
      </c>
      <c r="F35" s="40" t="str">
        <f aca="false">IFERROR(INDEX(Iniciativas!G$5:G$104,aggregate(15,6,(ROW(Iniciativas!B$5:B$104)-ROW(Iniciativas!B$5)+1)*(Iniciativas!E$5:E$104&lt;&gt;"Completada"),21)),"—")</f>
        <v>—</v>
      </c>
      <c r="G35" s="41" t="str">
        <f aca="false">IFERROR(INDEX(Iniciativas!J$5:J$104,aggregate(15,6,(ROW(Iniciativas!B$5:B$104)-ROW(Iniciativas!B$5)+1)*(Iniciativas!E$5:E$104&lt;&gt;"Completada"),21)),"—")</f>
        <v>—</v>
      </c>
    </row>
    <row r="36" customFormat="false" ht="24" hidden="false" customHeight="true" outlineLevel="0" collapsed="false">
      <c r="B36" s="111" t="str">
        <f aca="false">IFERROR(INDEX(Iniciativas!B$5:B$104,aggregate(15,6,(ROW(Iniciativas!B$5:B$104)-ROW(Iniciativas!B$5)+1)*(Iniciativas!E$5:E$104&lt;&gt;"Completada"),22)),"—")</f>
        <v>—</v>
      </c>
      <c r="C36" s="37" t="str">
        <f aca="false">IFERROR(INDEX(Iniciativas!C$5:C$104,aggregate(15,6,(ROW(Iniciativas!B$5:B$104)-ROW(Iniciativas!B$5)+1)*(Iniciativas!E$5:E$104&lt;&gt;"Completada"),22)),"—")</f>
        <v>—</v>
      </c>
      <c r="D36" s="112" t="str">
        <f aca="false">IFERROR(INDEX(Iniciativas!E$5:E$104,aggregate(15,6,(ROW(Iniciativas!B$5:B$104)-ROW(Iniciativas!B$5)+1)*(Iniciativas!E$5:E$104&lt;&gt;"Completada"),22)),"—")</f>
        <v>—</v>
      </c>
      <c r="E36" s="39" t="str">
        <f aca="false">IFERROR(INDEX(Iniciativas!F$5:F$104,aggregate(15,6,(ROW(Iniciativas!B$5:B$104)-ROW(Iniciativas!B$5)+1)*(Iniciativas!E$5:E$104&lt;&gt;"Completada"),22))/100,"—")</f>
        <v>—</v>
      </c>
      <c r="F36" s="40" t="str">
        <f aca="false">IFERROR(INDEX(Iniciativas!G$5:G$104,aggregate(15,6,(ROW(Iniciativas!B$5:B$104)-ROW(Iniciativas!B$5)+1)*(Iniciativas!E$5:E$104&lt;&gt;"Completada"),22)),"—")</f>
        <v>—</v>
      </c>
      <c r="G36" s="41" t="str">
        <f aca="false">IFERROR(INDEX(Iniciativas!J$5:J$104,aggregate(15,6,(ROW(Iniciativas!B$5:B$104)-ROW(Iniciativas!B$5)+1)*(Iniciativas!E$5:E$104&lt;&gt;"Completada"),22)),"—")</f>
        <v>—</v>
      </c>
    </row>
    <row r="37" customFormat="false" ht="24" hidden="false" customHeight="true" outlineLevel="0" collapsed="false">
      <c r="B37" s="111" t="str">
        <f aca="false">IFERROR(INDEX(Iniciativas!B$5:B$104,aggregate(15,6,(ROW(Iniciativas!B$5:B$104)-ROW(Iniciativas!B$5)+1)*(Iniciativas!E$5:E$104&lt;&gt;"Completada"),23)),"—")</f>
        <v>—</v>
      </c>
      <c r="C37" s="37" t="str">
        <f aca="false">IFERROR(INDEX(Iniciativas!C$5:C$104,aggregate(15,6,(ROW(Iniciativas!B$5:B$104)-ROW(Iniciativas!B$5)+1)*(Iniciativas!E$5:E$104&lt;&gt;"Completada"),23)),"—")</f>
        <v>—</v>
      </c>
      <c r="D37" s="112" t="str">
        <f aca="false">IFERROR(INDEX(Iniciativas!E$5:E$104,aggregate(15,6,(ROW(Iniciativas!B$5:B$104)-ROW(Iniciativas!B$5)+1)*(Iniciativas!E$5:E$104&lt;&gt;"Completada"),23)),"—")</f>
        <v>—</v>
      </c>
      <c r="E37" s="39" t="str">
        <f aca="false">IFERROR(INDEX(Iniciativas!F$5:F$104,aggregate(15,6,(ROW(Iniciativas!B$5:B$104)-ROW(Iniciativas!B$5)+1)*(Iniciativas!E$5:E$104&lt;&gt;"Completada"),23))/100,"—")</f>
        <v>—</v>
      </c>
      <c r="F37" s="40" t="str">
        <f aca="false">IFERROR(INDEX(Iniciativas!G$5:G$104,aggregate(15,6,(ROW(Iniciativas!B$5:B$104)-ROW(Iniciativas!B$5)+1)*(Iniciativas!E$5:E$104&lt;&gt;"Completada"),23)),"—")</f>
        <v>—</v>
      </c>
      <c r="G37" s="41" t="str">
        <f aca="false">IFERROR(INDEX(Iniciativas!J$5:J$104,aggregate(15,6,(ROW(Iniciativas!B$5:B$104)-ROW(Iniciativas!B$5)+1)*(Iniciativas!E$5:E$104&lt;&gt;"Completada"),23)),"—")</f>
        <v>—</v>
      </c>
    </row>
    <row r="38" customFormat="false" ht="24" hidden="false" customHeight="true" outlineLevel="0" collapsed="false">
      <c r="B38" s="111" t="str">
        <f aca="false">IFERROR(INDEX(Iniciativas!B$5:B$104,aggregate(15,6,(ROW(Iniciativas!B$5:B$104)-ROW(Iniciativas!B$5)+1)*(Iniciativas!E$5:E$104&lt;&gt;"Completada"),24)),"—")</f>
        <v>—</v>
      </c>
      <c r="C38" s="37" t="str">
        <f aca="false">IFERROR(INDEX(Iniciativas!C$5:C$104,aggregate(15,6,(ROW(Iniciativas!B$5:B$104)-ROW(Iniciativas!B$5)+1)*(Iniciativas!E$5:E$104&lt;&gt;"Completada"),24)),"—")</f>
        <v>—</v>
      </c>
      <c r="D38" s="112" t="str">
        <f aca="false">IFERROR(INDEX(Iniciativas!E$5:E$104,aggregate(15,6,(ROW(Iniciativas!B$5:B$104)-ROW(Iniciativas!B$5)+1)*(Iniciativas!E$5:E$104&lt;&gt;"Completada"),24)),"—")</f>
        <v>—</v>
      </c>
      <c r="E38" s="39" t="str">
        <f aca="false">IFERROR(INDEX(Iniciativas!F$5:F$104,aggregate(15,6,(ROW(Iniciativas!B$5:B$104)-ROW(Iniciativas!B$5)+1)*(Iniciativas!E$5:E$104&lt;&gt;"Completada"),24))/100,"—")</f>
        <v>—</v>
      </c>
      <c r="F38" s="40" t="str">
        <f aca="false">IFERROR(INDEX(Iniciativas!G$5:G$104,aggregate(15,6,(ROW(Iniciativas!B$5:B$104)-ROW(Iniciativas!B$5)+1)*(Iniciativas!E$5:E$104&lt;&gt;"Completada"),24)),"—")</f>
        <v>—</v>
      </c>
      <c r="G38" s="41" t="str">
        <f aca="false">IFERROR(INDEX(Iniciativas!J$5:J$104,aggregate(15,6,(ROW(Iniciativas!B$5:B$104)-ROW(Iniciativas!B$5)+1)*(Iniciativas!E$5:E$104&lt;&gt;"Completada"),24)),"—")</f>
        <v>—</v>
      </c>
    </row>
    <row r="39" customFormat="false" ht="24" hidden="false" customHeight="true" outlineLevel="0" collapsed="false">
      <c r="B39" s="111" t="str">
        <f aca="false">IFERROR(INDEX(Iniciativas!B$5:B$104,aggregate(15,6,(ROW(Iniciativas!B$5:B$104)-ROW(Iniciativas!B$5)+1)*(Iniciativas!E$5:E$104&lt;&gt;"Completada"),25)),"—")</f>
        <v>—</v>
      </c>
      <c r="C39" s="37" t="str">
        <f aca="false">IFERROR(INDEX(Iniciativas!C$5:C$104,aggregate(15,6,(ROW(Iniciativas!B$5:B$104)-ROW(Iniciativas!B$5)+1)*(Iniciativas!E$5:E$104&lt;&gt;"Completada"),25)),"—")</f>
        <v>—</v>
      </c>
      <c r="D39" s="112" t="str">
        <f aca="false">IFERROR(INDEX(Iniciativas!E$5:E$104,aggregate(15,6,(ROW(Iniciativas!B$5:B$104)-ROW(Iniciativas!B$5)+1)*(Iniciativas!E$5:E$104&lt;&gt;"Completada"),25)),"—")</f>
        <v>—</v>
      </c>
      <c r="E39" s="39" t="str">
        <f aca="false">IFERROR(INDEX(Iniciativas!F$5:F$104,aggregate(15,6,(ROW(Iniciativas!B$5:B$104)-ROW(Iniciativas!B$5)+1)*(Iniciativas!E$5:E$104&lt;&gt;"Completada"),25))/100,"—")</f>
        <v>—</v>
      </c>
      <c r="F39" s="40" t="str">
        <f aca="false">IFERROR(INDEX(Iniciativas!G$5:G$104,aggregate(15,6,(ROW(Iniciativas!B$5:B$104)-ROW(Iniciativas!B$5)+1)*(Iniciativas!E$5:E$104&lt;&gt;"Completada"),25)),"—")</f>
        <v>—</v>
      </c>
      <c r="G39" s="41" t="str">
        <f aca="false">IFERROR(INDEX(Iniciativas!J$5:J$104,aggregate(15,6,(ROW(Iniciativas!B$5:B$104)-ROW(Iniciativas!B$5)+1)*(Iniciativas!E$5:E$104&lt;&gt;"Completada"),25)),"—")</f>
        <v>—</v>
      </c>
    </row>
    <row r="40" customFormat="false" ht="24" hidden="false" customHeight="true" outlineLevel="0" collapsed="false">
      <c r="B40" s="111" t="str">
        <f aca="false">IFERROR(INDEX(Iniciativas!B$5:B$104,aggregate(15,6,(ROW(Iniciativas!B$5:B$104)-ROW(Iniciativas!B$5)+1)*(Iniciativas!E$5:E$104&lt;&gt;"Completada"),26)),"—")</f>
        <v>—</v>
      </c>
      <c r="C40" s="37" t="str">
        <f aca="false">IFERROR(INDEX(Iniciativas!C$5:C$104,aggregate(15,6,(ROW(Iniciativas!B$5:B$104)-ROW(Iniciativas!B$5)+1)*(Iniciativas!E$5:E$104&lt;&gt;"Completada"),26)),"—")</f>
        <v>—</v>
      </c>
      <c r="D40" s="112" t="str">
        <f aca="false">IFERROR(INDEX(Iniciativas!E$5:E$104,aggregate(15,6,(ROW(Iniciativas!B$5:B$104)-ROW(Iniciativas!B$5)+1)*(Iniciativas!E$5:E$104&lt;&gt;"Completada"),26)),"—")</f>
        <v>—</v>
      </c>
      <c r="E40" s="39" t="str">
        <f aca="false">IFERROR(INDEX(Iniciativas!F$5:F$104,aggregate(15,6,(ROW(Iniciativas!B$5:B$104)-ROW(Iniciativas!B$5)+1)*(Iniciativas!E$5:E$104&lt;&gt;"Completada"),26))/100,"—")</f>
        <v>—</v>
      </c>
      <c r="F40" s="40" t="str">
        <f aca="false">IFERROR(INDEX(Iniciativas!G$5:G$104,aggregate(15,6,(ROW(Iniciativas!B$5:B$104)-ROW(Iniciativas!B$5)+1)*(Iniciativas!E$5:E$104&lt;&gt;"Completada"),26)),"—")</f>
        <v>—</v>
      </c>
      <c r="G40" s="41" t="str">
        <f aca="false">IFERROR(INDEX(Iniciativas!J$5:J$104,aggregate(15,6,(ROW(Iniciativas!B$5:B$104)-ROW(Iniciativas!B$5)+1)*(Iniciativas!E$5:E$104&lt;&gt;"Completada"),26)),"—")</f>
        <v>—</v>
      </c>
    </row>
    <row r="41" customFormat="false" ht="24" hidden="false" customHeight="true" outlineLevel="0" collapsed="false">
      <c r="B41" s="111" t="str">
        <f aca="false">IFERROR(INDEX(Iniciativas!B$5:B$104,aggregate(15,6,(ROW(Iniciativas!B$5:B$104)-ROW(Iniciativas!B$5)+1)*(Iniciativas!E$5:E$104&lt;&gt;"Completada"),27)),"—")</f>
        <v>—</v>
      </c>
      <c r="C41" s="37" t="str">
        <f aca="false">IFERROR(INDEX(Iniciativas!C$5:C$104,aggregate(15,6,(ROW(Iniciativas!B$5:B$104)-ROW(Iniciativas!B$5)+1)*(Iniciativas!E$5:E$104&lt;&gt;"Completada"),27)),"—")</f>
        <v>—</v>
      </c>
      <c r="D41" s="112" t="str">
        <f aca="false">IFERROR(INDEX(Iniciativas!E$5:E$104,aggregate(15,6,(ROW(Iniciativas!B$5:B$104)-ROW(Iniciativas!B$5)+1)*(Iniciativas!E$5:E$104&lt;&gt;"Completada"),27)),"—")</f>
        <v>—</v>
      </c>
      <c r="E41" s="39" t="str">
        <f aca="false">IFERROR(INDEX(Iniciativas!F$5:F$104,aggregate(15,6,(ROW(Iniciativas!B$5:B$104)-ROW(Iniciativas!B$5)+1)*(Iniciativas!E$5:E$104&lt;&gt;"Completada"),27))/100,"—")</f>
        <v>—</v>
      </c>
      <c r="F41" s="40" t="str">
        <f aca="false">IFERROR(INDEX(Iniciativas!G$5:G$104,aggregate(15,6,(ROW(Iniciativas!B$5:B$104)-ROW(Iniciativas!B$5)+1)*(Iniciativas!E$5:E$104&lt;&gt;"Completada"),27)),"—")</f>
        <v>—</v>
      </c>
      <c r="G41" s="41" t="str">
        <f aca="false">IFERROR(INDEX(Iniciativas!J$5:J$104,aggregate(15,6,(ROW(Iniciativas!B$5:B$104)-ROW(Iniciativas!B$5)+1)*(Iniciativas!E$5:E$104&lt;&gt;"Completada"),27)),"—")</f>
        <v>—</v>
      </c>
    </row>
    <row r="42" customFormat="false" ht="24" hidden="false" customHeight="true" outlineLevel="0" collapsed="false">
      <c r="B42" s="111" t="str">
        <f aca="false">IFERROR(INDEX(Iniciativas!B$5:B$104,aggregate(15,6,(ROW(Iniciativas!B$5:B$104)-ROW(Iniciativas!B$5)+1)*(Iniciativas!E$5:E$104&lt;&gt;"Completada"),28)),"—")</f>
        <v>—</v>
      </c>
      <c r="C42" s="37" t="str">
        <f aca="false">IFERROR(INDEX(Iniciativas!C$5:C$104,aggregate(15,6,(ROW(Iniciativas!B$5:B$104)-ROW(Iniciativas!B$5)+1)*(Iniciativas!E$5:E$104&lt;&gt;"Completada"),28)),"—")</f>
        <v>—</v>
      </c>
      <c r="D42" s="112" t="str">
        <f aca="false">IFERROR(INDEX(Iniciativas!E$5:E$104,aggregate(15,6,(ROW(Iniciativas!B$5:B$104)-ROW(Iniciativas!B$5)+1)*(Iniciativas!E$5:E$104&lt;&gt;"Completada"),28)),"—")</f>
        <v>—</v>
      </c>
      <c r="E42" s="39" t="str">
        <f aca="false">IFERROR(INDEX(Iniciativas!F$5:F$104,aggregate(15,6,(ROW(Iniciativas!B$5:B$104)-ROW(Iniciativas!B$5)+1)*(Iniciativas!E$5:E$104&lt;&gt;"Completada"),28))/100,"—")</f>
        <v>—</v>
      </c>
      <c r="F42" s="40" t="str">
        <f aca="false">IFERROR(INDEX(Iniciativas!G$5:G$104,aggregate(15,6,(ROW(Iniciativas!B$5:B$104)-ROW(Iniciativas!B$5)+1)*(Iniciativas!E$5:E$104&lt;&gt;"Completada"),28)),"—")</f>
        <v>—</v>
      </c>
      <c r="G42" s="41" t="str">
        <f aca="false">IFERROR(INDEX(Iniciativas!J$5:J$104,aggregate(15,6,(ROW(Iniciativas!B$5:B$104)-ROW(Iniciativas!B$5)+1)*(Iniciativas!E$5:E$104&lt;&gt;"Completada"),28)),"—")</f>
        <v>—</v>
      </c>
    </row>
    <row r="43" customFormat="false" ht="24" hidden="false" customHeight="true" outlineLevel="0" collapsed="false">
      <c r="B43" s="111" t="str">
        <f aca="false">IFERROR(INDEX(Iniciativas!B$5:B$104,aggregate(15,6,(ROW(Iniciativas!B$5:B$104)-ROW(Iniciativas!B$5)+1)*(Iniciativas!E$5:E$104&lt;&gt;"Completada"),29)),"—")</f>
        <v>—</v>
      </c>
      <c r="C43" s="37" t="str">
        <f aca="false">IFERROR(INDEX(Iniciativas!C$5:C$104,aggregate(15,6,(ROW(Iniciativas!B$5:B$104)-ROW(Iniciativas!B$5)+1)*(Iniciativas!E$5:E$104&lt;&gt;"Completada"),29)),"—")</f>
        <v>—</v>
      </c>
      <c r="D43" s="112" t="str">
        <f aca="false">IFERROR(INDEX(Iniciativas!E$5:E$104,aggregate(15,6,(ROW(Iniciativas!B$5:B$104)-ROW(Iniciativas!B$5)+1)*(Iniciativas!E$5:E$104&lt;&gt;"Completada"),29)),"—")</f>
        <v>—</v>
      </c>
      <c r="E43" s="39" t="str">
        <f aca="false">IFERROR(INDEX(Iniciativas!F$5:F$104,aggregate(15,6,(ROW(Iniciativas!B$5:B$104)-ROW(Iniciativas!B$5)+1)*(Iniciativas!E$5:E$104&lt;&gt;"Completada"),29))/100,"—")</f>
        <v>—</v>
      </c>
      <c r="F43" s="40" t="str">
        <f aca="false">IFERROR(INDEX(Iniciativas!G$5:G$104,aggregate(15,6,(ROW(Iniciativas!B$5:B$104)-ROW(Iniciativas!B$5)+1)*(Iniciativas!E$5:E$104&lt;&gt;"Completada"),29)),"—")</f>
        <v>—</v>
      </c>
      <c r="G43" s="41" t="str">
        <f aca="false">IFERROR(INDEX(Iniciativas!J$5:J$104,aggregate(15,6,(ROW(Iniciativas!B$5:B$104)-ROW(Iniciativas!B$5)+1)*(Iniciativas!E$5:E$104&lt;&gt;"Completada"),29)),"—")</f>
        <v>—</v>
      </c>
    </row>
    <row r="44" customFormat="false" ht="24" hidden="false" customHeight="true" outlineLevel="0" collapsed="false">
      <c r="B44" s="111" t="str">
        <f aca="false">IFERROR(INDEX(Iniciativas!B$5:B$104,aggregate(15,6,(ROW(Iniciativas!B$5:B$104)-ROW(Iniciativas!B$5)+1)*(Iniciativas!E$5:E$104&lt;&gt;"Completada"),30)),"—")</f>
        <v>—</v>
      </c>
      <c r="C44" s="37" t="str">
        <f aca="false">IFERROR(INDEX(Iniciativas!C$5:C$104,aggregate(15,6,(ROW(Iniciativas!B$5:B$104)-ROW(Iniciativas!B$5)+1)*(Iniciativas!E$5:E$104&lt;&gt;"Completada"),30)),"—")</f>
        <v>—</v>
      </c>
      <c r="D44" s="112" t="str">
        <f aca="false">IFERROR(INDEX(Iniciativas!E$5:E$104,aggregate(15,6,(ROW(Iniciativas!B$5:B$104)-ROW(Iniciativas!B$5)+1)*(Iniciativas!E$5:E$104&lt;&gt;"Completada"),30)),"—")</f>
        <v>—</v>
      </c>
      <c r="E44" s="39" t="str">
        <f aca="false">IFERROR(INDEX(Iniciativas!F$5:F$104,aggregate(15,6,(ROW(Iniciativas!B$5:B$104)-ROW(Iniciativas!B$5)+1)*(Iniciativas!E$5:E$104&lt;&gt;"Completada"),30))/100,"—")</f>
        <v>—</v>
      </c>
      <c r="F44" s="40" t="str">
        <f aca="false">IFERROR(INDEX(Iniciativas!G$5:G$104,aggregate(15,6,(ROW(Iniciativas!B$5:B$104)-ROW(Iniciativas!B$5)+1)*(Iniciativas!E$5:E$104&lt;&gt;"Completada"),30)),"—")</f>
        <v>—</v>
      </c>
      <c r="G44" s="41" t="str">
        <f aca="false">IFERROR(INDEX(Iniciativas!J$5:J$104,aggregate(15,6,(ROW(Iniciativas!B$5:B$104)-ROW(Iniciativas!B$5)+1)*(Iniciativas!E$5:E$104&lt;&gt;"Completada"),30)),"—")</f>
        <v>—</v>
      </c>
    </row>
    <row r="45" customFormat="false" ht="24" hidden="false" customHeight="true" outlineLevel="0" collapsed="false">
      <c r="B45" s="111" t="str">
        <f aca="false">IFERROR(INDEX(Iniciativas!B$5:B$104,aggregate(15,6,(ROW(Iniciativas!B$5:B$104)-ROW(Iniciativas!B$5)+1)*(Iniciativas!E$5:E$104&lt;&gt;"Completada"),31)),"—")</f>
        <v>—</v>
      </c>
      <c r="C45" s="37" t="str">
        <f aca="false">IFERROR(INDEX(Iniciativas!C$5:C$104,aggregate(15,6,(ROW(Iniciativas!B$5:B$104)-ROW(Iniciativas!B$5)+1)*(Iniciativas!E$5:E$104&lt;&gt;"Completada"),31)),"—")</f>
        <v>—</v>
      </c>
      <c r="D45" s="112" t="str">
        <f aca="false">IFERROR(INDEX(Iniciativas!E$5:E$104,aggregate(15,6,(ROW(Iniciativas!B$5:B$104)-ROW(Iniciativas!B$5)+1)*(Iniciativas!E$5:E$104&lt;&gt;"Completada"),31)),"—")</f>
        <v>—</v>
      </c>
      <c r="E45" s="39" t="str">
        <f aca="false">IFERROR(INDEX(Iniciativas!F$5:F$104,aggregate(15,6,(ROW(Iniciativas!B$5:B$104)-ROW(Iniciativas!B$5)+1)*(Iniciativas!E$5:E$104&lt;&gt;"Completada"),31))/100,"—")</f>
        <v>—</v>
      </c>
      <c r="F45" s="40" t="str">
        <f aca="false">IFERROR(INDEX(Iniciativas!G$5:G$104,aggregate(15,6,(ROW(Iniciativas!B$5:B$104)-ROW(Iniciativas!B$5)+1)*(Iniciativas!E$5:E$104&lt;&gt;"Completada"),31)),"—")</f>
        <v>—</v>
      </c>
      <c r="G45" s="41" t="str">
        <f aca="false">IFERROR(INDEX(Iniciativas!J$5:J$104,aggregate(15,6,(ROW(Iniciativas!B$5:B$104)-ROW(Iniciativas!B$5)+1)*(Iniciativas!E$5:E$104&lt;&gt;"Completada"),31)),"—")</f>
        <v>—</v>
      </c>
    </row>
    <row r="46" customFormat="false" ht="24" hidden="false" customHeight="true" outlineLevel="0" collapsed="false">
      <c r="B46" s="111" t="str">
        <f aca="false">IFERROR(INDEX(Iniciativas!B$5:B$104,aggregate(15,6,(ROW(Iniciativas!B$5:B$104)-ROW(Iniciativas!B$5)+1)*(Iniciativas!E$5:E$104&lt;&gt;"Completada"),32)),"—")</f>
        <v>—</v>
      </c>
      <c r="C46" s="37" t="str">
        <f aca="false">IFERROR(INDEX(Iniciativas!C$5:C$104,aggregate(15,6,(ROW(Iniciativas!B$5:B$104)-ROW(Iniciativas!B$5)+1)*(Iniciativas!E$5:E$104&lt;&gt;"Completada"),32)),"—")</f>
        <v>—</v>
      </c>
      <c r="D46" s="112" t="str">
        <f aca="false">IFERROR(INDEX(Iniciativas!E$5:E$104,aggregate(15,6,(ROW(Iniciativas!B$5:B$104)-ROW(Iniciativas!B$5)+1)*(Iniciativas!E$5:E$104&lt;&gt;"Completada"),32)),"—")</f>
        <v>—</v>
      </c>
      <c r="E46" s="39" t="str">
        <f aca="false">IFERROR(INDEX(Iniciativas!F$5:F$104,aggregate(15,6,(ROW(Iniciativas!B$5:B$104)-ROW(Iniciativas!B$5)+1)*(Iniciativas!E$5:E$104&lt;&gt;"Completada"),32))/100,"—")</f>
        <v>—</v>
      </c>
      <c r="F46" s="40" t="str">
        <f aca="false">IFERROR(INDEX(Iniciativas!G$5:G$104,aggregate(15,6,(ROW(Iniciativas!B$5:B$104)-ROW(Iniciativas!B$5)+1)*(Iniciativas!E$5:E$104&lt;&gt;"Completada"),32)),"—")</f>
        <v>—</v>
      </c>
      <c r="G46" s="41" t="str">
        <f aca="false">IFERROR(INDEX(Iniciativas!J$5:J$104,aggregate(15,6,(ROW(Iniciativas!B$5:B$104)-ROW(Iniciativas!B$5)+1)*(Iniciativas!E$5:E$104&lt;&gt;"Completada"),32)),"—")</f>
        <v>—</v>
      </c>
    </row>
    <row r="47" customFormat="false" ht="24" hidden="false" customHeight="true" outlineLevel="0" collapsed="false">
      <c r="B47" s="111" t="str">
        <f aca="false">IFERROR(INDEX(Iniciativas!B$5:B$104,aggregate(15,6,(ROW(Iniciativas!B$5:B$104)-ROW(Iniciativas!B$5)+1)*(Iniciativas!E$5:E$104&lt;&gt;"Completada"),33)),"—")</f>
        <v>—</v>
      </c>
      <c r="C47" s="37" t="str">
        <f aca="false">IFERROR(INDEX(Iniciativas!C$5:C$104,aggregate(15,6,(ROW(Iniciativas!B$5:B$104)-ROW(Iniciativas!B$5)+1)*(Iniciativas!E$5:E$104&lt;&gt;"Completada"),33)),"—")</f>
        <v>—</v>
      </c>
      <c r="D47" s="112" t="str">
        <f aca="false">IFERROR(INDEX(Iniciativas!E$5:E$104,aggregate(15,6,(ROW(Iniciativas!B$5:B$104)-ROW(Iniciativas!B$5)+1)*(Iniciativas!E$5:E$104&lt;&gt;"Completada"),33)),"—")</f>
        <v>—</v>
      </c>
      <c r="E47" s="39" t="str">
        <f aca="false">IFERROR(INDEX(Iniciativas!F$5:F$104,aggregate(15,6,(ROW(Iniciativas!B$5:B$104)-ROW(Iniciativas!B$5)+1)*(Iniciativas!E$5:E$104&lt;&gt;"Completada"),33))/100,"—")</f>
        <v>—</v>
      </c>
      <c r="F47" s="40" t="str">
        <f aca="false">IFERROR(INDEX(Iniciativas!G$5:G$104,aggregate(15,6,(ROW(Iniciativas!B$5:B$104)-ROW(Iniciativas!B$5)+1)*(Iniciativas!E$5:E$104&lt;&gt;"Completada"),33)),"—")</f>
        <v>—</v>
      </c>
      <c r="G47" s="41" t="str">
        <f aca="false">IFERROR(INDEX(Iniciativas!J$5:J$104,aggregate(15,6,(ROW(Iniciativas!B$5:B$104)-ROW(Iniciativas!B$5)+1)*(Iniciativas!E$5:E$104&lt;&gt;"Completada"),33)),"—")</f>
        <v>—</v>
      </c>
    </row>
    <row r="48" customFormat="false" ht="24" hidden="false" customHeight="true" outlineLevel="0" collapsed="false">
      <c r="B48" s="111" t="str">
        <f aca="false">IFERROR(INDEX(Iniciativas!B$5:B$104,aggregate(15,6,(ROW(Iniciativas!B$5:B$104)-ROW(Iniciativas!B$5)+1)*(Iniciativas!E$5:E$104&lt;&gt;"Completada"),34)),"—")</f>
        <v>—</v>
      </c>
      <c r="C48" s="37" t="str">
        <f aca="false">IFERROR(INDEX(Iniciativas!C$5:C$104,aggregate(15,6,(ROW(Iniciativas!B$5:B$104)-ROW(Iniciativas!B$5)+1)*(Iniciativas!E$5:E$104&lt;&gt;"Completada"),34)),"—")</f>
        <v>—</v>
      </c>
      <c r="D48" s="112" t="str">
        <f aca="false">IFERROR(INDEX(Iniciativas!E$5:E$104,aggregate(15,6,(ROW(Iniciativas!B$5:B$104)-ROW(Iniciativas!B$5)+1)*(Iniciativas!E$5:E$104&lt;&gt;"Completada"),34)),"—")</f>
        <v>—</v>
      </c>
      <c r="E48" s="39" t="str">
        <f aca="false">IFERROR(INDEX(Iniciativas!F$5:F$104,aggregate(15,6,(ROW(Iniciativas!B$5:B$104)-ROW(Iniciativas!B$5)+1)*(Iniciativas!E$5:E$104&lt;&gt;"Completada"),34))/100,"—")</f>
        <v>—</v>
      </c>
      <c r="F48" s="40" t="str">
        <f aca="false">IFERROR(INDEX(Iniciativas!G$5:G$104,aggregate(15,6,(ROW(Iniciativas!B$5:B$104)-ROW(Iniciativas!B$5)+1)*(Iniciativas!E$5:E$104&lt;&gt;"Completada"),34)),"—")</f>
        <v>—</v>
      </c>
      <c r="G48" s="41" t="str">
        <f aca="false">IFERROR(INDEX(Iniciativas!J$5:J$104,aggregate(15,6,(ROW(Iniciativas!B$5:B$104)-ROW(Iniciativas!B$5)+1)*(Iniciativas!E$5:E$104&lt;&gt;"Completada"),34)),"—")</f>
        <v>—</v>
      </c>
    </row>
    <row r="49" customFormat="false" ht="24" hidden="false" customHeight="true" outlineLevel="0" collapsed="false">
      <c r="B49" s="111" t="str">
        <f aca="false">IFERROR(INDEX(Iniciativas!B$5:B$104,aggregate(15,6,(ROW(Iniciativas!B$5:B$104)-ROW(Iniciativas!B$5)+1)*(Iniciativas!E$5:E$104&lt;&gt;"Completada"),35)),"—")</f>
        <v>—</v>
      </c>
      <c r="C49" s="37" t="str">
        <f aca="false">IFERROR(INDEX(Iniciativas!C$5:C$104,aggregate(15,6,(ROW(Iniciativas!B$5:B$104)-ROW(Iniciativas!B$5)+1)*(Iniciativas!E$5:E$104&lt;&gt;"Completada"),35)),"—")</f>
        <v>—</v>
      </c>
      <c r="D49" s="112" t="str">
        <f aca="false">IFERROR(INDEX(Iniciativas!E$5:E$104,aggregate(15,6,(ROW(Iniciativas!B$5:B$104)-ROW(Iniciativas!B$5)+1)*(Iniciativas!E$5:E$104&lt;&gt;"Completada"),35)),"—")</f>
        <v>—</v>
      </c>
      <c r="E49" s="39" t="str">
        <f aca="false">IFERROR(INDEX(Iniciativas!F$5:F$104,aggregate(15,6,(ROW(Iniciativas!B$5:B$104)-ROW(Iniciativas!B$5)+1)*(Iniciativas!E$5:E$104&lt;&gt;"Completada"),35))/100,"—")</f>
        <v>—</v>
      </c>
      <c r="F49" s="40" t="str">
        <f aca="false">IFERROR(INDEX(Iniciativas!G$5:G$104,aggregate(15,6,(ROW(Iniciativas!B$5:B$104)-ROW(Iniciativas!B$5)+1)*(Iniciativas!E$5:E$104&lt;&gt;"Completada"),35)),"—")</f>
        <v>—</v>
      </c>
      <c r="G49" s="41" t="str">
        <f aca="false">IFERROR(INDEX(Iniciativas!J$5:J$104,aggregate(15,6,(ROW(Iniciativas!B$5:B$104)-ROW(Iniciativas!B$5)+1)*(Iniciativas!E$5:E$104&lt;&gt;"Completada"),35)),"—")</f>
        <v>—</v>
      </c>
    </row>
    <row r="50" customFormat="false" ht="24" hidden="false" customHeight="true" outlineLevel="0" collapsed="false">
      <c r="B50" s="111" t="str">
        <f aca="false">IFERROR(INDEX(Iniciativas!B$5:B$104,aggregate(15,6,(ROW(Iniciativas!B$5:B$104)-ROW(Iniciativas!B$5)+1)*(Iniciativas!E$5:E$104&lt;&gt;"Completada"),36)),"—")</f>
        <v>—</v>
      </c>
      <c r="C50" s="37" t="str">
        <f aca="false">IFERROR(INDEX(Iniciativas!C$5:C$104,aggregate(15,6,(ROW(Iniciativas!B$5:B$104)-ROW(Iniciativas!B$5)+1)*(Iniciativas!E$5:E$104&lt;&gt;"Completada"),36)),"—")</f>
        <v>—</v>
      </c>
      <c r="D50" s="112" t="str">
        <f aca="false">IFERROR(INDEX(Iniciativas!E$5:E$104,aggregate(15,6,(ROW(Iniciativas!B$5:B$104)-ROW(Iniciativas!B$5)+1)*(Iniciativas!E$5:E$104&lt;&gt;"Completada"),36)),"—")</f>
        <v>—</v>
      </c>
      <c r="E50" s="39" t="str">
        <f aca="false">IFERROR(INDEX(Iniciativas!F$5:F$104,aggregate(15,6,(ROW(Iniciativas!B$5:B$104)-ROW(Iniciativas!B$5)+1)*(Iniciativas!E$5:E$104&lt;&gt;"Completada"),36))/100,"—")</f>
        <v>—</v>
      </c>
      <c r="F50" s="40" t="str">
        <f aca="false">IFERROR(INDEX(Iniciativas!G$5:G$104,aggregate(15,6,(ROW(Iniciativas!B$5:B$104)-ROW(Iniciativas!B$5)+1)*(Iniciativas!E$5:E$104&lt;&gt;"Completada"),36)),"—")</f>
        <v>—</v>
      </c>
      <c r="G50" s="41" t="str">
        <f aca="false">IFERROR(INDEX(Iniciativas!J$5:J$104,aggregate(15,6,(ROW(Iniciativas!B$5:B$104)-ROW(Iniciativas!B$5)+1)*(Iniciativas!E$5:E$104&lt;&gt;"Completada"),36)),"—")</f>
        <v>—</v>
      </c>
    </row>
    <row r="51" customFormat="false" ht="24" hidden="false" customHeight="true" outlineLevel="0" collapsed="false">
      <c r="B51" s="111" t="str">
        <f aca="false">IFERROR(INDEX(Iniciativas!B$5:B$104,aggregate(15,6,(ROW(Iniciativas!B$5:B$104)-ROW(Iniciativas!B$5)+1)*(Iniciativas!E$5:E$104&lt;&gt;"Completada"),37)),"—")</f>
        <v>—</v>
      </c>
      <c r="C51" s="37" t="str">
        <f aca="false">IFERROR(INDEX(Iniciativas!C$5:C$104,aggregate(15,6,(ROW(Iniciativas!B$5:B$104)-ROW(Iniciativas!B$5)+1)*(Iniciativas!E$5:E$104&lt;&gt;"Completada"),37)),"—")</f>
        <v>—</v>
      </c>
      <c r="D51" s="112" t="str">
        <f aca="false">IFERROR(INDEX(Iniciativas!E$5:E$104,aggregate(15,6,(ROW(Iniciativas!B$5:B$104)-ROW(Iniciativas!B$5)+1)*(Iniciativas!E$5:E$104&lt;&gt;"Completada"),37)),"—")</f>
        <v>—</v>
      </c>
      <c r="E51" s="39" t="str">
        <f aca="false">IFERROR(INDEX(Iniciativas!F$5:F$104,aggregate(15,6,(ROW(Iniciativas!B$5:B$104)-ROW(Iniciativas!B$5)+1)*(Iniciativas!E$5:E$104&lt;&gt;"Completada"),37))/100,"—")</f>
        <v>—</v>
      </c>
      <c r="F51" s="40" t="str">
        <f aca="false">IFERROR(INDEX(Iniciativas!G$5:G$104,aggregate(15,6,(ROW(Iniciativas!B$5:B$104)-ROW(Iniciativas!B$5)+1)*(Iniciativas!E$5:E$104&lt;&gt;"Completada"),37)),"—")</f>
        <v>—</v>
      </c>
      <c r="G51" s="41" t="str">
        <f aca="false">IFERROR(INDEX(Iniciativas!J$5:J$104,aggregate(15,6,(ROW(Iniciativas!B$5:B$104)-ROW(Iniciativas!B$5)+1)*(Iniciativas!E$5:E$104&lt;&gt;"Completada"),37)),"—")</f>
        <v>—</v>
      </c>
    </row>
    <row r="52" customFormat="false" ht="24" hidden="false" customHeight="true" outlineLevel="0" collapsed="false">
      <c r="B52" s="111" t="str">
        <f aca="false">IFERROR(INDEX(Iniciativas!B$5:B$104,aggregate(15,6,(ROW(Iniciativas!B$5:B$104)-ROW(Iniciativas!B$5)+1)*(Iniciativas!E$5:E$104&lt;&gt;"Completada"),38)),"—")</f>
        <v>—</v>
      </c>
      <c r="C52" s="37" t="str">
        <f aca="false">IFERROR(INDEX(Iniciativas!C$5:C$104,aggregate(15,6,(ROW(Iniciativas!B$5:B$104)-ROW(Iniciativas!B$5)+1)*(Iniciativas!E$5:E$104&lt;&gt;"Completada"),38)),"—")</f>
        <v>—</v>
      </c>
      <c r="D52" s="112" t="str">
        <f aca="false">IFERROR(INDEX(Iniciativas!E$5:E$104,aggregate(15,6,(ROW(Iniciativas!B$5:B$104)-ROW(Iniciativas!B$5)+1)*(Iniciativas!E$5:E$104&lt;&gt;"Completada"),38)),"—")</f>
        <v>—</v>
      </c>
      <c r="E52" s="39" t="str">
        <f aca="false">IFERROR(INDEX(Iniciativas!F$5:F$104,aggregate(15,6,(ROW(Iniciativas!B$5:B$104)-ROW(Iniciativas!B$5)+1)*(Iniciativas!E$5:E$104&lt;&gt;"Completada"),38))/100,"—")</f>
        <v>—</v>
      </c>
      <c r="F52" s="40" t="str">
        <f aca="false">IFERROR(INDEX(Iniciativas!G$5:G$104,aggregate(15,6,(ROW(Iniciativas!B$5:B$104)-ROW(Iniciativas!B$5)+1)*(Iniciativas!E$5:E$104&lt;&gt;"Completada"),38)),"—")</f>
        <v>—</v>
      </c>
      <c r="G52" s="41" t="str">
        <f aca="false">IFERROR(INDEX(Iniciativas!J$5:J$104,aggregate(15,6,(ROW(Iniciativas!B$5:B$104)-ROW(Iniciativas!B$5)+1)*(Iniciativas!E$5:E$104&lt;&gt;"Completada"),38)),"—")</f>
        <v>—</v>
      </c>
    </row>
    <row r="53" customFormat="false" ht="24" hidden="false" customHeight="true" outlineLevel="0" collapsed="false">
      <c r="B53" s="111" t="str">
        <f aca="false">IFERROR(INDEX(Iniciativas!B$5:B$104,aggregate(15,6,(ROW(Iniciativas!B$5:B$104)-ROW(Iniciativas!B$5)+1)*(Iniciativas!E$5:E$104&lt;&gt;"Completada"),39)),"—")</f>
        <v>—</v>
      </c>
      <c r="C53" s="37" t="str">
        <f aca="false">IFERROR(INDEX(Iniciativas!C$5:C$104,aggregate(15,6,(ROW(Iniciativas!B$5:B$104)-ROW(Iniciativas!B$5)+1)*(Iniciativas!E$5:E$104&lt;&gt;"Completada"),39)),"—")</f>
        <v>—</v>
      </c>
      <c r="D53" s="112" t="str">
        <f aca="false">IFERROR(INDEX(Iniciativas!E$5:E$104,aggregate(15,6,(ROW(Iniciativas!B$5:B$104)-ROW(Iniciativas!B$5)+1)*(Iniciativas!E$5:E$104&lt;&gt;"Completada"),39)),"—")</f>
        <v>—</v>
      </c>
      <c r="E53" s="39" t="str">
        <f aca="false">IFERROR(INDEX(Iniciativas!F$5:F$104,aggregate(15,6,(ROW(Iniciativas!B$5:B$104)-ROW(Iniciativas!B$5)+1)*(Iniciativas!E$5:E$104&lt;&gt;"Completada"),39))/100,"—")</f>
        <v>—</v>
      </c>
      <c r="F53" s="40" t="str">
        <f aca="false">IFERROR(INDEX(Iniciativas!G$5:G$104,aggregate(15,6,(ROW(Iniciativas!B$5:B$104)-ROW(Iniciativas!B$5)+1)*(Iniciativas!E$5:E$104&lt;&gt;"Completada"),39)),"—")</f>
        <v>—</v>
      </c>
      <c r="G53" s="41" t="str">
        <f aca="false">IFERROR(INDEX(Iniciativas!J$5:J$104,aggregate(15,6,(ROW(Iniciativas!B$5:B$104)-ROW(Iniciativas!B$5)+1)*(Iniciativas!E$5:E$104&lt;&gt;"Completada"),39)),"—")</f>
        <v>—</v>
      </c>
    </row>
    <row r="54" customFormat="false" ht="24" hidden="false" customHeight="true" outlineLevel="0" collapsed="false">
      <c r="B54" s="111" t="str">
        <f aca="false">IFERROR(INDEX(Iniciativas!B$5:B$104,aggregate(15,6,(ROW(Iniciativas!B$5:B$104)-ROW(Iniciativas!B$5)+1)*(Iniciativas!E$5:E$104&lt;&gt;"Completada"),40)),"—")</f>
        <v>—</v>
      </c>
      <c r="C54" s="37" t="str">
        <f aca="false">IFERROR(INDEX(Iniciativas!C$5:C$104,aggregate(15,6,(ROW(Iniciativas!B$5:B$104)-ROW(Iniciativas!B$5)+1)*(Iniciativas!E$5:E$104&lt;&gt;"Completada"),40)),"—")</f>
        <v>—</v>
      </c>
      <c r="D54" s="112" t="str">
        <f aca="false">IFERROR(INDEX(Iniciativas!E$5:E$104,aggregate(15,6,(ROW(Iniciativas!B$5:B$104)-ROW(Iniciativas!B$5)+1)*(Iniciativas!E$5:E$104&lt;&gt;"Completada"),40)),"—")</f>
        <v>—</v>
      </c>
      <c r="E54" s="39" t="str">
        <f aca="false">IFERROR(INDEX(Iniciativas!F$5:F$104,aggregate(15,6,(ROW(Iniciativas!B$5:B$104)-ROW(Iniciativas!B$5)+1)*(Iniciativas!E$5:E$104&lt;&gt;"Completada"),40))/100,"—")</f>
        <v>—</v>
      </c>
      <c r="F54" s="40" t="str">
        <f aca="false">IFERROR(INDEX(Iniciativas!G$5:G$104,aggregate(15,6,(ROW(Iniciativas!B$5:B$104)-ROW(Iniciativas!B$5)+1)*(Iniciativas!E$5:E$104&lt;&gt;"Completada"),40)),"—")</f>
        <v>—</v>
      </c>
      <c r="G54" s="41" t="str">
        <f aca="false">IFERROR(INDEX(Iniciativas!J$5:J$104,aggregate(15,6,(ROW(Iniciativas!B$5:B$104)-ROW(Iniciativas!B$5)+1)*(Iniciativas!E$5:E$104&lt;&gt;"Completada"),40)),"—")</f>
        <v>—</v>
      </c>
    </row>
    <row r="55" customFormat="false" ht="7.5" hidden="false" customHeight="true" outlineLevel="0" collapsed="false"/>
    <row r="56" customFormat="false" ht="37.5" hidden="false" customHeight="true" outlineLevel="0" collapsed="false">
      <c r="A56" s="113"/>
      <c r="B56" s="114" t="s">
        <v>139</v>
      </c>
      <c r="C56" s="114"/>
      <c r="D56" s="114"/>
      <c r="E56" s="114"/>
      <c r="F56" s="114"/>
      <c r="G56" s="114"/>
      <c r="H56" s="113"/>
    </row>
    <row r="57" customFormat="false" ht="13.5" hidden="false" customHeight="true" outlineLevel="0" collapsed="false">
      <c r="A57" s="1"/>
      <c r="B57" s="54" t="s">
        <v>140</v>
      </c>
      <c r="C57" s="54"/>
      <c r="D57" s="54"/>
      <c r="E57" s="54"/>
      <c r="F57" s="54"/>
      <c r="G57" s="54"/>
      <c r="H57" s="1"/>
    </row>
  </sheetData>
  <mergeCells count="6">
    <mergeCell ref="B2:D2"/>
    <mergeCell ref="F2:G2"/>
    <mergeCell ref="B4:G4"/>
    <mergeCell ref="B13:G13"/>
    <mergeCell ref="B56:G56"/>
    <mergeCell ref="B57:G57"/>
  </mergeCells>
  <conditionalFormatting sqref="D15:D54">
    <cfRule type="cellIs" priority="2" operator="equal" aboveAverage="0" equalAverage="0" bottom="0" percent="0" rank="0" text="" dxfId="2">
      <formula>"En marcha"</formula>
    </cfRule>
    <cfRule type="cellIs" priority="3" operator="equal" aboveAverage="0" equalAverage="0" bottom="0" percent="0" rank="0" text="" dxfId="3">
      <formula>"En riesgo"</formula>
    </cfRule>
    <cfRule type="cellIs" priority="4" operator="equal" aboveAverage="0" equalAverage="0" bottom="0" percent="0" rank="0" text="" dxfId="4">
      <formula>"Retrasada"</formula>
    </cfRule>
    <cfRule type="cellIs" priority="5" operator="equal" aboveAverage="0" equalAverage="0" bottom="0" percent="0" rank="0" text="" dxfId="6">
      <formula>"En pausa"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2026-05-02T01:26:16Z</dcterms:created>
  <dc:creator>openpyxl</dc:creator>
  <dc:description/>
  <dc:language>en-US</dc:language>
  <cp:lastModifiedBy/>
  <dcterms:modified xsi:type="dcterms:W3CDTF">2026-05-02T01:26:17Z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